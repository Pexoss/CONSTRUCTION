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ágina1" sheetId="1" r:id="rId5"/>
    <sheet state="visible" name="FATURA" sheetId="2" r:id="rId6"/>
    <sheet state="visible" name="CLIENTE" sheetId="3" r:id="rId7"/>
  </sheets>
  <definedNames>
    <definedName hidden="1" localSheetId="2" name="_xlnm._FilterDatabase">CLIENTE!$A$1:$L$312</definedName>
  </definedNames>
  <calcPr/>
</workbook>
</file>

<file path=xl/sharedStrings.xml><?xml version="1.0" encoding="utf-8"?>
<sst xmlns="http://schemas.openxmlformats.org/spreadsheetml/2006/main" count="1294" uniqueCount="793">
  <si>
    <t>ALUGUE EQUIPAMENTOS PARA CONTRUÇÃO CIVIL</t>
  </si>
  <si>
    <t>FATURA DE LOCAÇÃO</t>
  </si>
  <si>
    <t>AV. GOV. VALADARES, 2586 - JD. SÃO CARLOS,                   CEP 37137-254 - ALFENAS - MG                                                                                                 TEL. (35) 9 8843-5154 / (35) 9 99761-2424</t>
  </si>
  <si>
    <t>Nº:</t>
  </si>
  <si>
    <t>CNPJ 28.408.479/0001-19</t>
  </si>
  <si>
    <t xml:space="preserve">Emissão: </t>
  </si>
  <si>
    <t>DESTINATÁRIO</t>
  </si>
  <si>
    <t>COD.</t>
  </si>
  <si>
    <t>Razão Social / Nome Cliente</t>
  </si>
  <si>
    <t xml:space="preserve">CNPJ </t>
  </si>
  <si>
    <t>CPF</t>
  </si>
  <si>
    <t>Endereço</t>
  </si>
  <si>
    <t>N°</t>
  </si>
  <si>
    <t>Bairro</t>
  </si>
  <si>
    <t>UF</t>
  </si>
  <si>
    <t xml:space="preserve"> </t>
  </si>
  <si>
    <t>Cidade</t>
  </si>
  <si>
    <t>Telefone</t>
  </si>
  <si>
    <t>CONTRATO</t>
  </si>
  <si>
    <t>PAGAMENTO</t>
  </si>
  <si>
    <t>Número:</t>
  </si>
  <si>
    <t>Forma de Pagamento: boleto/PIX</t>
  </si>
  <si>
    <t>OBSERVAÇÃO: Período de aluguel:  27/02 a 20/03</t>
  </si>
  <si>
    <t xml:space="preserve">OBRA: </t>
  </si>
  <si>
    <t>R. Imput, 667 Vila Teixeira - Alfenas/MG</t>
  </si>
  <si>
    <t>Código</t>
  </si>
  <si>
    <t>DESCRIÇÃO DA LOCAÇÃO</t>
  </si>
  <si>
    <t>Valor Unitário</t>
  </si>
  <si>
    <t>Valor Total</t>
  </si>
  <si>
    <t>Forma de Pgto</t>
  </si>
  <si>
    <t>Andaimes 1,5m</t>
  </si>
  <si>
    <t>Plataformas</t>
  </si>
  <si>
    <t>Diagonais</t>
  </si>
  <si>
    <t>Sapatas</t>
  </si>
  <si>
    <t>Entrega</t>
  </si>
  <si>
    <t>Valor Total da Fatura:</t>
  </si>
  <si>
    <t>A empresa Alugue Equipamentos para Construção Civil, esta dispensada de emitir documento fiscal de Serviços, pois é tributada pelo anexo lll, tendo deduzido a parcela do ISS, conforme inciso V do parágrafo 4º do artigo 18 da Lei Complementar nº 123/2006.</t>
  </si>
  <si>
    <t>/</t>
  </si>
  <si>
    <t>PIX 
CNPJ 
28408479000119</t>
  </si>
  <si>
    <t>Transferência
Bco 756 - Sicoob
Ag 3125
Cc 935338-0
Alugue Equipamentos para Construção.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</si>
  <si>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</si>
  <si>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RECEBI(EMOS) DE EMPRESA . AS LOCAÇÕES CONSTANTES NESSA FATURA INDICADA AO LADO</t>
  </si>
  <si>
    <t>-</t>
  </si>
  <si>
    <t>IDENTIFICAÇÃO E ASSINATURA DO RECEBEDOR</t>
  </si>
  <si>
    <t xml:space="preserve">Nº: </t>
  </si>
  <si>
    <t>c</t>
  </si>
  <si>
    <t>NOME</t>
  </si>
  <si>
    <t>CNPJ</t>
  </si>
  <si>
    <t>TELEFONE</t>
  </si>
  <si>
    <t>EMAIL</t>
  </si>
  <si>
    <t>RUA</t>
  </si>
  <si>
    <t>NUMERO</t>
  </si>
  <si>
    <t>COMPLEMENTO</t>
  </si>
  <si>
    <t>BAIRRO</t>
  </si>
  <si>
    <t>CIDADE</t>
  </si>
  <si>
    <t>ESTADO</t>
  </si>
  <si>
    <t>Empreendimentos Imobiliários Maganhoto Ltda</t>
  </si>
  <si>
    <t>35.458.854/0001-09</t>
  </si>
  <si>
    <t>R, Cônego José Carlos</t>
  </si>
  <si>
    <t>Centro</t>
  </si>
  <si>
    <t>Alfenas</t>
  </si>
  <si>
    <t>MG</t>
  </si>
  <si>
    <t>Alexandre da Silva Alves</t>
  </si>
  <si>
    <t>R. Beija Flor</t>
  </si>
  <si>
    <t>Res Floresta</t>
  </si>
  <si>
    <t>Fundação de Ensino e Tecnologia de Alfenas</t>
  </si>
  <si>
    <t>thaymer.ferreira@unifenas.br</t>
  </si>
  <si>
    <t>MG 179 KM 0 Loteamento Trevo</t>
  </si>
  <si>
    <t>Loteamento Trevo</t>
  </si>
  <si>
    <t>Assoc dos Proprietários de Lotes de Terrenos do L.M.B.R.</t>
  </si>
  <si>
    <t>Av Cruzeiro do Sul</t>
  </si>
  <si>
    <t>Res Mont Blanc</t>
  </si>
  <si>
    <t>Sander Oliveira Marcelino ME</t>
  </si>
  <si>
    <t>R Amélio da Silva Gomes</t>
  </si>
  <si>
    <t>Consórcio Novos Horizontes</t>
  </si>
  <si>
    <t>Av Raja Gabaglia</t>
  </si>
  <si>
    <t>sala 1004</t>
  </si>
  <si>
    <t>GUTIERREZ</t>
  </si>
  <si>
    <t>Belo Horizonte</t>
  </si>
  <si>
    <t>Construtora Rio Manso</t>
  </si>
  <si>
    <t>05.124.311/0001-86</t>
  </si>
  <si>
    <t>64 3602-7900/ 35 99124-1796 Adriana</t>
  </si>
  <si>
    <t>Av Jovino Fernandes Salles</t>
  </si>
  <si>
    <t xml:space="preserve">Lagos Química </t>
  </si>
  <si>
    <t>fiscal@lagosquimica.com.br</t>
  </si>
  <si>
    <t>R. Alberto Oliveira Romão</t>
  </si>
  <si>
    <t>Distrito Industrial</t>
  </si>
  <si>
    <t>2FG2PR Consultoria em Gestão da Saúde Ltda</t>
  </si>
  <si>
    <t>R. João Paulino Damasceno</t>
  </si>
  <si>
    <t>Jardim Tropical</t>
  </si>
  <si>
    <t>LEONILDO VILELA DE ANDRADE</t>
  </si>
  <si>
    <t>Av. Quinze de Outubro</t>
  </si>
  <si>
    <t>sn</t>
  </si>
  <si>
    <t>TH Empreendimentos e Participações Ltda</t>
  </si>
  <si>
    <t>Rod Pres Tancredo Neves</t>
  </si>
  <si>
    <t>Bom Pastor</t>
  </si>
  <si>
    <t>Divinópolis</t>
  </si>
  <si>
    <t>Auto Posto Irmãos Coelho Ltda</t>
  </si>
  <si>
    <t>Supermercado Unissul</t>
  </si>
  <si>
    <t>R. Henrique Munhoz Garcia</t>
  </si>
  <si>
    <t>Morada do Sol</t>
  </si>
  <si>
    <t>Maxsuel Kesley da Silva</t>
  </si>
  <si>
    <t>R. Domingos Munhoz Gago</t>
  </si>
  <si>
    <t>Júlio Alves</t>
  </si>
  <si>
    <t>Paulo Sérgio Amorelli Silveira</t>
  </si>
  <si>
    <t>Rodovia BR 491 s/n KM 172</t>
  </si>
  <si>
    <t>Via Mundo Automóveis e Peças Ltda</t>
  </si>
  <si>
    <t>R. Iput</t>
  </si>
  <si>
    <t>Vila Teixeira</t>
  </si>
  <si>
    <t>José Luiz Rodrigues de Lima</t>
  </si>
  <si>
    <t>002.625.926-57</t>
  </si>
  <si>
    <t>R. Ademar Douat</t>
  </si>
  <si>
    <t>Flamarion Landre Diogo</t>
  </si>
  <si>
    <t>215.089.176-04</t>
  </si>
  <si>
    <t>financeirolaboratorio@hotmail.com</t>
  </si>
  <si>
    <t>R. Tiradentes</t>
  </si>
  <si>
    <t>Jd São Carlos</t>
  </si>
  <si>
    <t>Mitra Diocesana de Guaxupé</t>
  </si>
  <si>
    <t>20.775.128/0024-20</t>
  </si>
  <si>
    <t>R. Quintino Bocaiúva</t>
  </si>
  <si>
    <t>Parque das nações</t>
  </si>
  <si>
    <t>Guaxupe</t>
  </si>
  <si>
    <t>Alfenas Tênis Clube</t>
  </si>
  <si>
    <t>21.410.238/0001-65</t>
  </si>
  <si>
    <t>gerencia@alfenastenisclube.com.br</t>
  </si>
  <si>
    <t>R. Manoel Alves Taveira</t>
  </si>
  <si>
    <t>Jd Aeroporto</t>
  </si>
  <si>
    <t>LUÍZ ANTÔNIO DUARTE</t>
  </si>
  <si>
    <t>555.167.266-20</t>
  </si>
  <si>
    <t>99985-5025</t>
  </si>
  <si>
    <t>R. MARTINS ALFENAS</t>
  </si>
  <si>
    <t>CENTRO</t>
  </si>
  <si>
    <t>ALFENAS</t>
  </si>
  <si>
    <t>MAJED ABDUL AHAD</t>
  </si>
  <si>
    <t>107.600.956-55</t>
  </si>
  <si>
    <t>99127-4599</t>
  </si>
  <si>
    <t>R. SICÍLIA</t>
  </si>
  <si>
    <t>RES EUROVILLE</t>
  </si>
  <si>
    <t>Construtora Adolfo Neto Ltda</t>
  </si>
  <si>
    <t>34.676.696/0001-92</t>
  </si>
  <si>
    <t>11 4040-1561</t>
  </si>
  <si>
    <t>contato@adolfoneto.com.br</t>
  </si>
  <si>
    <t>Av dos Autonomistas</t>
  </si>
  <si>
    <t xml:space="preserve">conj 1608 </t>
  </si>
  <si>
    <t>Vila Yara</t>
  </si>
  <si>
    <t>Osasco</t>
  </si>
  <si>
    <t>Verc Construção e Indústria Ltda</t>
  </si>
  <si>
    <t>10.912.336/0001-84</t>
  </si>
  <si>
    <t>auxiliar.compras@verc.com.br e thais@verc.com.br</t>
  </si>
  <si>
    <t>R. Maria Silva Qd 34 Lt 04</t>
  </si>
  <si>
    <t>Setor Morada do Sol</t>
  </si>
  <si>
    <t>Rio Verde</t>
  </si>
  <si>
    <t>GO</t>
  </si>
  <si>
    <t>J.A. Estrutura Metálica</t>
  </si>
  <si>
    <t>04.313.180/0001/-12</t>
  </si>
  <si>
    <t>99819-1876</t>
  </si>
  <si>
    <t>João Paulo</t>
  </si>
  <si>
    <t>Rod MG 446 Km 14</t>
  </si>
  <si>
    <t>Alpinópolis</t>
  </si>
  <si>
    <t>Isac Alves Gonçalves</t>
  </si>
  <si>
    <t>31 98273-8855</t>
  </si>
  <si>
    <t>Eduardo</t>
  </si>
  <si>
    <t>Av. Bartholomeu de Carlos</t>
  </si>
  <si>
    <t>Flor da Montanha</t>
  </si>
  <si>
    <t>Guarulhos</t>
  </si>
  <si>
    <t>SP</t>
  </si>
  <si>
    <t>Marcos Antônio de Oliveira</t>
  </si>
  <si>
    <t>286.634.206-25</t>
  </si>
  <si>
    <t>R. Al Libânio</t>
  </si>
  <si>
    <t>Jd da Colina</t>
  </si>
  <si>
    <t>NC Construção e Manutenção ME</t>
  </si>
  <si>
    <t>40.575.329/0001-03</t>
  </si>
  <si>
    <t>98899-3842</t>
  </si>
  <si>
    <t>RONALDO</t>
  </si>
  <si>
    <t>R. Teodorina de Abreu</t>
  </si>
  <si>
    <t>Tanque</t>
  </si>
  <si>
    <t>Silvianópolis</t>
  </si>
  <si>
    <t>Dr Celso Valadão</t>
  </si>
  <si>
    <t>R. Pedra de São Pedro</t>
  </si>
  <si>
    <t>Mont Blanc</t>
  </si>
  <si>
    <t>Netasul Sistemas de Irrigação Ltda</t>
  </si>
  <si>
    <t>07.932.278/0001-46</t>
  </si>
  <si>
    <t>Av Governador Valadares</t>
  </si>
  <si>
    <t>Pontal Const e Prest Serviços Ltda</t>
  </si>
  <si>
    <t>12.759.515/0001-59</t>
  </si>
  <si>
    <t>R. Padre João Batista Gheta</t>
  </si>
  <si>
    <t>Lodovico Pavone</t>
  </si>
  <si>
    <t>Eloi Mendes</t>
  </si>
  <si>
    <t>Massahud Construtora Ltda</t>
  </si>
  <si>
    <t>38.446.834/0001-06</t>
  </si>
  <si>
    <t>Av José Paulino da Costa</t>
  </si>
  <si>
    <t>Cruz Preta</t>
  </si>
  <si>
    <t>Subway Alfenas</t>
  </si>
  <si>
    <t>17.380.545/0001-73</t>
  </si>
  <si>
    <t>Jonny Jeferson Pinturas ME</t>
  </si>
  <si>
    <t>47.924.959/0001-87</t>
  </si>
  <si>
    <t>R. Luís Guilherme Boim</t>
  </si>
  <si>
    <t>Bl 10 ap 24</t>
  </si>
  <si>
    <t>Cond Rubi A3</t>
  </si>
  <si>
    <t>Limeira</t>
  </si>
  <si>
    <t>Willian Godoy da Silva</t>
  </si>
  <si>
    <t>21.390.883/0001-63</t>
  </si>
  <si>
    <t>R. Padre Cornélio Hans</t>
  </si>
  <si>
    <t>Jd Boa Esperança</t>
  </si>
  <si>
    <t xml:space="preserve">UNIFI </t>
  </si>
  <si>
    <t>Dênis Fernandes Martins</t>
  </si>
  <si>
    <t>080.197.936-66</t>
  </si>
  <si>
    <t>R. João Luíz Alves</t>
  </si>
  <si>
    <t>35.030.944/0001-96</t>
  </si>
  <si>
    <t>MG 179 KM0</t>
  </si>
  <si>
    <t>17.878.554/0009-46</t>
  </si>
  <si>
    <t>Anselmo Cassio Cesário</t>
  </si>
  <si>
    <t>042.824.496-32</t>
  </si>
  <si>
    <t>R, Eduardo Ferreira Dias</t>
  </si>
  <si>
    <t>Santa Rita</t>
  </si>
  <si>
    <t>Projetary Engenharia e Segurança do Trabalho Ltda</t>
  </si>
  <si>
    <t>35.446.388/0001-33</t>
  </si>
  <si>
    <t>Cristiano</t>
  </si>
  <si>
    <t>R. Amélio da Silva Gomes</t>
  </si>
  <si>
    <t>Alja Hotelaria &amp; Serviços Ltda</t>
  </si>
  <si>
    <t>17.609.594/0003-05</t>
  </si>
  <si>
    <t>99915-6672</t>
  </si>
  <si>
    <t>Av Lincoln Westin da Silveira</t>
  </si>
  <si>
    <t>Auto Posto Gaspar Lopes Ltda</t>
  </si>
  <si>
    <t>Cristian</t>
  </si>
  <si>
    <t>R. Joaquim Antônio</t>
  </si>
  <si>
    <t>Gaspar Lopes</t>
  </si>
  <si>
    <t>Construtora e Engenharia Anchieta</t>
  </si>
  <si>
    <t>50.395.804/0001-05</t>
  </si>
  <si>
    <t>19 99941-3411</t>
  </si>
  <si>
    <t>Renato</t>
  </si>
  <si>
    <t>R. Mário Natal</t>
  </si>
  <si>
    <t>Chácaras Anhanguera</t>
  </si>
  <si>
    <t>Campinas</t>
  </si>
  <si>
    <t>EBE - English By English Escola de Idiomas Ltda</t>
  </si>
  <si>
    <t>13.512.714/0001-20</t>
  </si>
  <si>
    <t>98415-1350</t>
  </si>
  <si>
    <t>Aleksander</t>
  </si>
  <si>
    <t>R. Rui Babosa</t>
  </si>
  <si>
    <t>Minas Verde  Máquinas Ltda</t>
  </si>
  <si>
    <t>02.541.934/0017-23</t>
  </si>
  <si>
    <t>Eleonara</t>
  </si>
  <si>
    <t>R. Mário Barbosa Vieira</t>
  </si>
  <si>
    <t>Naylor Dias</t>
  </si>
  <si>
    <t>480.144.946/87</t>
  </si>
  <si>
    <t>R. Francisca Vita Ferreira</t>
  </si>
  <si>
    <t>Júlio Aves</t>
  </si>
  <si>
    <t>Viana Coffees Com de Café Ltda</t>
  </si>
  <si>
    <t>20.706.186/0001-06</t>
  </si>
  <si>
    <t>Edinho</t>
  </si>
  <si>
    <t>Estação</t>
  </si>
  <si>
    <t>Daciofarma Ltda</t>
  </si>
  <si>
    <t>21.066.147/0001-54</t>
  </si>
  <si>
    <t>Pça. Getúlio Vargas</t>
  </si>
  <si>
    <t>Icomatic Equipamentos Industriais</t>
  </si>
  <si>
    <t>15.182.723/0001-26</t>
  </si>
  <si>
    <t>98882-2221</t>
  </si>
  <si>
    <t>Carina</t>
  </si>
  <si>
    <t>R. Antônio Roberto Vilas Boas</t>
  </si>
  <si>
    <t>Guaranésia</t>
  </si>
  <si>
    <t>Fazenda São Miguel Agropecuária Ltda</t>
  </si>
  <si>
    <t>57.593.758/0002-89</t>
  </si>
  <si>
    <t>11 3112-1122</t>
  </si>
  <si>
    <t>Faz São Miguel da Boa Vista</t>
  </si>
  <si>
    <t>S/N</t>
  </si>
  <si>
    <t>Divisa Nova</t>
  </si>
  <si>
    <t>Lucinéia Torres dos Santos</t>
  </si>
  <si>
    <t>081.530.896-50</t>
  </si>
  <si>
    <t>Rod Alfenas - Paraguaçu KM 16</t>
  </si>
  <si>
    <t>Fama</t>
  </si>
  <si>
    <t>Contemporare Complexo Educacional Ltda</t>
  </si>
  <si>
    <t>25.658.402/0012-61</t>
  </si>
  <si>
    <t>Thaymer</t>
  </si>
  <si>
    <t>R. João de Camargo</t>
  </si>
  <si>
    <t>Renata Alves de Souza</t>
  </si>
  <si>
    <t>086.173.566-85</t>
  </si>
  <si>
    <t>R. Pataxó</t>
  </si>
  <si>
    <t>Res Teixeira</t>
  </si>
  <si>
    <t>Tijão Construções Ltda</t>
  </si>
  <si>
    <t>22.078.325/0001-20</t>
  </si>
  <si>
    <t>Alessandro</t>
  </si>
  <si>
    <t>R, João de Souza Sobrinho</t>
  </si>
  <si>
    <t>Jd Nova América</t>
  </si>
  <si>
    <t>Jeberson Luíz Ferreira</t>
  </si>
  <si>
    <t>859.797.246-72</t>
  </si>
  <si>
    <t>R. General Costa Campo</t>
  </si>
  <si>
    <t>Paulo Henrique Siqueira</t>
  </si>
  <si>
    <t>R. Tucano</t>
  </si>
  <si>
    <t>Estrutura de Ouro</t>
  </si>
  <si>
    <t>08.735.217/0001-51</t>
  </si>
  <si>
    <t>Av 15 de Outubro</t>
  </si>
  <si>
    <t>Distrito Industrual</t>
  </si>
  <si>
    <t>Revamar Lopes Ltda</t>
  </si>
  <si>
    <t>02.674.176/0001-54</t>
  </si>
  <si>
    <t>Aeroporto Incorporação e Const Civil Ltda</t>
  </si>
  <si>
    <t>34.197.116/0001-84</t>
  </si>
  <si>
    <t>financeiro@agileurbanismo.com</t>
  </si>
  <si>
    <t>R. José Dias Barroso</t>
  </si>
  <si>
    <t>Verth Tecnologia e Serviços Ltda</t>
  </si>
  <si>
    <t>19.427.220/0001-24</t>
  </si>
  <si>
    <t>R. Coronel Renno</t>
  </si>
  <si>
    <t>Itajubá</t>
  </si>
  <si>
    <t>Pedro Eloisio Barbosa</t>
  </si>
  <si>
    <t>854.643.392-53</t>
  </si>
  <si>
    <t>99825-1690</t>
  </si>
  <si>
    <t>R. Joaquim  Esteves de Oliveira</t>
  </si>
  <si>
    <t>São Lucas</t>
  </si>
  <si>
    <t>Auto Posto Jd São Carlos Ltda</t>
  </si>
  <si>
    <t>16.926.021/0001-72</t>
  </si>
  <si>
    <t>Alisson</t>
  </si>
  <si>
    <t>R. Cláudio Manoel</t>
  </si>
  <si>
    <t>Líder Veículos Ltda</t>
  </si>
  <si>
    <t>33.318.512/0001-50</t>
  </si>
  <si>
    <t>R. José Paulino da Costa</t>
  </si>
  <si>
    <t>Bem-Te-Vi Empreendimentos Ltda</t>
  </si>
  <si>
    <t>11.182.989/0001-18</t>
  </si>
  <si>
    <t>Pça Prefeito Francisco José de Brito</t>
  </si>
  <si>
    <t>Três Pontas</t>
  </si>
  <si>
    <t>Edson Freitas</t>
  </si>
  <si>
    <t>R. João Custódio da Silva</t>
  </si>
  <si>
    <t>Ambiental Controle de Pragas</t>
  </si>
  <si>
    <t>31.909.655/0001-29</t>
  </si>
  <si>
    <t>Av Alberto Vieira Romão</t>
  </si>
  <si>
    <t>20.775.128/0069-22</t>
  </si>
  <si>
    <t>Paróquia São Pedro</t>
  </si>
  <si>
    <t>Res Júlio Alves</t>
  </si>
  <si>
    <t>Ello Constrtutora e Serviços Ltda</t>
  </si>
  <si>
    <t>17.374.530/0001-00</t>
  </si>
  <si>
    <t>62 3588-5459</t>
  </si>
  <si>
    <t>faturamento@elloconstrutora.net.br</t>
  </si>
  <si>
    <t>R. Paulo Danilo Bittar</t>
  </si>
  <si>
    <t>qd 05 lt 08</t>
  </si>
  <si>
    <t>Res Araguaia</t>
  </si>
  <si>
    <t>Aparecida de Goiânia</t>
  </si>
  <si>
    <t>Panhotur Panorama Hoteis e Turismo Ltda</t>
  </si>
  <si>
    <t>18.251.041/0001-16</t>
  </si>
  <si>
    <t xml:space="preserve">35 99183-1348 </t>
  </si>
  <si>
    <t>Cristiano Henrique</t>
  </si>
  <si>
    <t>Av Dr Lincoln Westin da Silveira</t>
  </si>
  <si>
    <t>apto 10</t>
  </si>
  <si>
    <t>Metal Base Engenharia e Projetos Ltda</t>
  </si>
  <si>
    <t>51.633.185/0001-02</t>
  </si>
  <si>
    <t>18 99761-8713</t>
  </si>
  <si>
    <t>Miguel</t>
  </si>
  <si>
    <t>R. Hugo Mossini</t>
  </si>
  <si>
    <t>Assis</t>
  </si>
  <si>
    <t>Manacá Noivas e Festas Ltda</t>
  </si>
  <si>
    <t>16.778.183/0001-00</t>
  </si>
  <si>
    <t>99139-0388</t>
  </si>
  <si>
    <t>madalenabymanaca@hotmail,com</t>
  </si>
  <si>
    <t>Av. São José</t>
  </si>
  <si>
    <t>A</t>
  </si>
  <si>
    <t>André Luíz Prado</t>
  </si>
  <si>
    <t>R. Dr Augusto Valadão</t>
  </si>
  <si>
    <t>Auto Mais Com de Peças e Serv Ltda</t>
  </si>
  <si>
    <t>18.163.930/0001-21</t>
  </si>
  <si>
    <t>R. Pataxo</t>
  </si>
  <si>
    <t>Jean Carlos Marques</t>
  </si>
  <si>
    <t>690.989.726-91</t>
  </si>
  <si>
    <t>R. Adolfo Engel</t>
  </si>
  <si>
    <t>Stênio Souza Santos Silva</t>
  </si>
  <si>
    <t>032.926.136-39</t>
  </si>
  <si>
    <t>R. Antônio Ferreira Maia</t>
  </si>
  <si>
    <t>Santa Helena</t>
  </si>
  <si>
    <t>CEPAPA</t>
  </si>
  <si>
    <t>03.399.449/0001-62</t>
  </si>
  <si>
    <t>R. Cássio de Carvalho Coutinho</t>
  </si>
  <si>
    <t>São Vicente de Paulo</t>
  </si>
  <si>
    <t>Pouso Alegre</t>
  </si>
  <si>
    <t>Ernani Rodrigues de Souza Rocha</t>
  </si>
  <si>
    <t>249.189.898-53</t>
  </si>
  <si>
    <t>Fazenda Barreiro</t>
  </si>
  <si>
    <t>Dinamus Construtora Eireli</t>
  </si>
  <si>
    <t>27.913.041/0001-25</t>
  </si>
  <si>
    <t>R. Fernão Dias</t>
  </si>
  <si>
    <t>São Geraldo</t>
  </si>
  <si>
    <t>Niltfer serralheria Ltda</t>
  </si>
  <si>
    <t>19.977.519/0001-52</t>
  </si>
  <si>
    <t>R. Hercilia Siqueira Gonçalves</t>
  </si>
  <si>
    <t>Jd Altamiro</t>
  </si>
  <si>
    <t>Muzambinho</t>
  </si>
  <si>
    <t>Rosilene Coutinho Modesto Junqueira</t>
  </si>
  <si>
    <t>R. Al. Libânio</t>
  </si>
  <si>
    <t>Vidrominas Ind Comércio Ltda</t>
  </si>
  <si>
    <t>22.656.847/0003-23</t>
  </si>
  <si>
    <t>Posto Violeta</t>
  </si>
  <si>
    <t>06.329.051/0001-48</t>
  </si>
  <si>
    <t>Compacta Máquinas e Terraplanagem</t>
  </si>
  <si>
    <t>32.887.828/0001-08</t>
  </si>
  <si>
    <t>Maria das Graças Chagas de Paula</t>
  </si>
  <si>
    <t>280.006.336-04</t>
  </si>
  <si>
    <t>R. Roma</t>
  </si>
  <si>
    <t>Cidade Jardim</t>
  </si>
  <si>
    <t>Deivis Rodrigues dos Santos</t>
  </si>
  <si>
    <t>015.338.536/73</t>
  </si>
  <si>
    <t>R. Lavras</t>
  </si>
  <si>
    <t>Oliveira</t>
  </si>
  <si>
    <t>Daniela Braga Lima</t>
  </si>
  <si>
    <t>905.646.346-20</t>
  </si>
  <si>
    <t>R, Galbo Westin Dias</t>
  </si>
  <si>
    <t>Levipe Engenharia e Construtora</t>
  </si>
  <si>
    <t>65.359.911/0001-55</t>
  </si>
  <si>
    <t>R. Arthur Bernardes</t>
  </si>
  <si>
    <t>B</t>
  </si>
  <si>
    <t>17.878.554/0012-41</t>
  </si>
  <si>
    <t>R. Geraldo Freitas da Costa</t>
  </si>
  <si>
    <t>Fábio Donizete Alexandre</t>
  </si>
  <si>
    <t>038.606.736-88</t>
  </si>
  <si>
    <t>Mart Minas Distribuidora Ltda</t>
  </si>
  <si>
    <t>04.737.552/0015-33</t>
  </si>
  <si>
    <t>Av Mário Barbosa Vieira</t>
  </si>
  <si>
    <t>Lot Trevo</t>
  </si>
  <si>
    <t>Matheus Rodrigues Nascimento</t>
  </si>
  <si>
    <t>Aline Fragoso Fogaça Fragozo</t>
  </si>
  <si>
    <t>366.390.128-98</t>
  </si>
  <si>
    <t>R. Juíz de Fora</t>
  </si>
  <si>
    <t>Res Oliveira</t>
  </si>
  <si>
    <t>José Roberto Rodrigues</t>
  </si>
  <si>
    <t>175.832.126-10</t>
  </si>
  <si>
    <t>R.Ibiza</t>
  </si>
  <si>
    <t>Mont Serrat</t>
  </si>
  <si>
    <t>D. D. A. Incorporações Ltda</t>
  </si>
  <si>
    <t>08.015.246/0001-49</t>
  </si>
  <si>
    <r>
      <rPr>
        <rFont val="Arial"/>
        <color rgb="FF000000"/>
      </rPr>
      <t>99756-3373</t>
    </r>
  </si>
  <si>
    <t>Geovana</t>
  </si>
  <si>
    <t>R. João Florentino da Silva</t>
  </si>
  <si>
    <t>Supermercado Nobre</t>
  </si>
  <si>
    <t>22.250.450/0001-75</t>
  </si>
  <si>
    <t>Dom Candido Ind e Com Ltda</t>
  </si>
  <si>
    <t>56.008.525/0001-28</t>
  </si>
  <si>
    <t>R. Miguel Barbosa Elias</t>
  </si>
  <si>
    <t>Res São Lucas</t>
  </si>
  <si>
    <t>Prátika Serviços e Administração</t>
  </si>
  <si>
    <t>07.084.342/0001-86</t>
  </si>
  <si>
    <t>19 99604-8834</t>
  </si>
  <si>
    <t>R. Barão do Amazonas</t>
  </si>
  <si>
    <t>Jd Sumaré</t>
  </si>
  <si>
    <t>Ribeirão Preto</t>
  </si>
  <si>
    <t>Móveis Del Verde Ltda</t>
  </si>
  <si>
    <t>26.986.500/0001-38</t>
  </si>
  <si>
    <t>Av. Governador Valadares</t>
  </si>
  <si>
    <t>SPE Residencial Alfenas 2 Ltda</t>
  </si>
  <si>
    <t>46.386.206/0001-00</t>
  </si>
  <si>
    <t>obra.alfenas@mrconstrutora.com.br</t>
  </si>
  <si>
    <t>R. Vereador José Maurício Moreira</t>
  </si>
  <si>
    <t>Casa do Construtor</t>
  </si>
  <si>
    <t>17.678.705/0001-65</t>
  </si>
  <si>
    <t>Salva Serviços Administrativos</t>
  </si>
  <si>
    <t>34.922.200/0001-13</t>
  </si>
  <si>
    <t>R. São Valmir</t>
  </si>
  <si>
    <t>Jd Santa Luzia</t>
  </si>
  <si>
    <t>São José do Rio Preto</t>
  </si>
  <si>
    <t>Serviço Nacional de Aprendizagem Comercial - Senac Minas</t>
  </si>
  <si>
    <t>03.447.242/0050-02</t>
  </si>
  <si>
    <t>Matheus Venga Mendes</t>
  </si>
  <si>
    <t>081.315.066-30</t>
  </si>
  <si>
    <t>R. Cumbica</t>
  </si>
  <si>
    <t>Alto do Aeroporto</t>
  </si>
  <si>
    <t>Igreja Batista Ágape</t>
  </si>
  <si>
    <t>57.502.007/0006-33</t>
  </si>
  <si>
    <t>R. Machado de Assis</t>
  </si>
  <si>
    <t>Jardim São Carlos</t>
  </si>
  <si>
    <t>Jucelino Norberto</t>
  </si>
  <si>
    <t>608.212.486-34</t>
  </si>
  <si>
    <t>R. Ciro Vieira da Silva</t>
  </si>
  <si>
    <t>Vista Grande</t>
  </si>
  <si>
    <t>Wagner Munhoz Fernandes</t>
  </si>
  <si>
    <t>560.024.248-49</t>
  </si>
  <si>
    <t>Zona Rural</t>
  </si>
  <si>
    <t>Canderoli Engenharia e Serviços Ltda</t>
  </si>
  <si>
    <t>51.904.044/0001-87</t>
  </si>
  <si>
    <t>R. Londre</t>
  </si>
  <si>
    <t>Tibery</t>
  </si>
  <si>
    <t>Uberlandia</t>
  </si>
  <si>
    <t>Sequoia - Jardim Empreendimentos Imobiliários S/S Ltda</t>
  </si>
  <si>
    <t>20.328.287/0001-90</t>
  </si>
  <si>
    <t>R. Benedito F. de Oliveira</t>
  </si>
  <si>
    <t>sala 30</t>
  </si>
  <si>
    <t>Jd Boa Vista</t>
  </si>
  <si>
    <t>São João da Boa Vista</t>
  </si>
  <si>
    <t>Comarga Construtora Ltda</t>
  </si>
  <si>
    <t>57.991.606/0001-53</t>
  </si>
  <si>
    <t>Av João Pazzotto</t>
  </si>
  <si>
    <t>Dist Industrial</t>
  </si>
  <si>
    <t>Neves Paulista</t>
  </si>
  <si>
    <t>MD Construtora e Engenharia</t>
  </si>
  <si>
    <t>54.933.941/0001-07</t>
  </si>
  <si>
    <t>R. Ricardo Caldonazzo de Almeida</t>
  </si>
  <si>
    <t>Jd Sion</t>
  </si>
  <si>
    <t>Varginha</t>
  </si>
  <si>
    <t>M&amp;D Incorp. de Empreend. Imobiliários Ltda</t>
  </si>
  <si>
    <t>55.560.898/0001-44</t>
  </si>
  <si>
    <t>R. Pres. Arthur Bernardes</t>
  </si>
  <si>
    <t>sala 1</t>
  </si>
  <si>
    <t>Im Plack Comunicação Visual</t>
  </si>
  <si>
    <t>06.284.867/0001-00</t>
  </si>
  <si>
    <t>R. João Cordeiro</t>
  </si>
  <si>
    <t>Moinho Velho</t>
  </si>
  <si>
    <t>São Paulo</t>
  </si>
  <si>
    <t>Márcio Isac de Souza</t>
  </si>
  <si>
    <t>451.095.676-20</t>
  </si>
  <si>
    <t>R. Maurício Leite da Silva</t>
  </si>
  <si>
    <t>João Paulo Gouvêa</t>
  </si>
  <si>
    <t>Fábio Gonçalves de Lima</t>
  </si>
  <si>
    <t>080.808.726-29</t>
  </si>
  <si>
    <t>R. José Alípio Ribeiro</t>
  </si>
  <si>
    <t>Paraguaçú</t>
  </si>
  <si>
    <t>Daniel Orsini Sales da Silva</t>
  </si>
  <si>
    <t>048.975.306-01</t>
  </si>
  <si>
    <t>R. Amsterdã</t>
  </si>
  <si>
    <t>Cond Cidade Jardim</t>
  </si>
  <si>
    <t>Auto Posto Caldense Ltda</t>
  </si>
  <si>
    <t>50.490.551/0001-59</t>
  </si>
  <si>
    <t>Av João Pinheiro</t>
  </si>
  <si>
    <t>Poços de Caldas</t>
  </si>
  <si>
    <t>Marco Antônio da Silveira</t>
  </si>
  <si>
    <t>440.269.786-72</t>
  </si>
  <si>
    <t>R. Maestro João Manoel</t>
  </si>
  <si>
    <t>Vila Formosa</t>
  </si>
  <si>
    <t>Wagner Faria Goulart</t>
  </si>
  <si>
    <t>285.898.746-72</t>
  </si>
  <si>
    <t>R. dos Expedicionários</t>
  </si>
  <si>
    <t>Nova Motocicletas e Peças Ltda</t>
  </si>
  <si>
    <t>34.161.386/0001-35</t>
  </si>
  <si>
    <t>Crus Preta</t>
  </si>
  <si>
    <t xml:space="preserve">Coopama </t>
  </si>
  <si>
    <t>22.226.476/0016-64</t>
  </si>
  <si>
    <t>Athos Stefani Serafini Gonçalves</t>
  </si>
  <si>
    <t>098.999.296-97</t>
  </si>
  <si>
    <t>R. Eugênio Esteves dos Santos</t>
  </si>
  <si>
    <t>Mitra Diocesana de Guaxupé - Paróquia Nossa Senhora de Fátima</t>
  </si>
  <si>
    <t>20.775.128/0070-66</t>
  </si>
  <si>
    <t>Lucas Moretto Pimenta</t>
  </si>
  <si>
    <t>100.635.126-45</t>
  </si>
  <si>
    <t>Pça Getúlio vargas</t>
  </si>
  <si>
    <t>apto 1401</t>
  </si>
  <si>
    <t>Rodolfo Willian de Souza</t>
  </si>
  <si>
    <t>132.158.206-41</t>
  </si>
  <si>
    <t>R. Roberto José dos Santos</t>
  </si>
  <si>
    <t>Jd Olimpia</t>
  </si>
  <si>
    <t>Marka Ind. e Com. de Pré Fabricados de Concreto Ltda</t>
  </si>
  <si>
    <t>66.038.530/0001-37</t>
  </si>
  <si>
    <t>nfe@marka.ind.br</t>
  </si>
  <si>
    <t>Av Papa João XXIII</t>
  </si>
  <si>
    <t>Brodowski</t>
  </si>
  <si>
    <t>Nutrialfa Alimentos Ltda</t>
  </si>
  <si>
    <t>19.051.962/0003-60</t>
  </si>
  <si>
    <t>Mitra Diocesana de Guaxupé - Paróquia São Pedro</t>
  </si>
  <si>
    <t>Ana Paula Paulino Silvestre</t>
  </si>
  <si>
    <t>091.792.966-70</t>
  </si>
  <si>
    <t>Av Teixeira da Silva</t>
  </si>
  <si>
    <t>apto 301</t>
  </si>
  <si>
    <t>Jardim Aeroporto</t>
  </si>
  <si>
    <t>Alfa RVM Ltda</t>
  </si>
  <si>
    <t>03.418.121/0001-46</t>
  </si>
  <si>
    <t>Av José Paulino da Cista</t>
  </si>
  <si>
    <t>Taquaral Agropecuária Ltda</t>
  </si>
  <si>
    <t>49.864.980/0001-60</t>
  </si>
  <si>
    <t>Sit Talisma</t>
  </si>
  <si>
    <t>Cordislândia</t>
  </si>
  <si>
    <t>Mitra Diocesana dde Guaxupé</t>
  </si>
  <si>
    <t>SICLA Engenharia Ltda</t>
  </si>
  <si>
    <t>17.375.874/0001-26</t>
  </si>
  <si>
    <t>R. Humaiatá</t>
  </si>
  <si>
    <t>Padre Eustáquio</t>
  </si>
  <si>
    <t>Clube XV de novembro</t>
  </si>
  <si>
    <t>17.409.350/0001-09</t>
  </si>
  <si>
    <t>Pça Getúlio Vargas</t>
  </si>
  <si>
    <t>Carlos Augusto</t>
  </si>
  <si>
    <t>830.752.340-01</t>
  </si>
  <si>
    <t>Av Capri</t>
  </si>
  <si>
    <t>Drogaria Santa Maria Pinheirinho Ltda</t>
  </si>
  <si>
    <t>47.909.187/0001-04</t>
  </si>
  <si>
    <t>lj 05</t>
  </si>
  <si>
    <t>Alto da Boa Vista</t>
  </si>
  <si>
    <t>Posto Souza Ltda</t>
  </si>
  <si>
    <t>16.652.000/0001-06</t>
  </si>
  <si>
    <t>Central Posto Ltda</t>
  </si>
  <si>
    <t>Av Afonso Pena</t>
  </si>
  <si>
    <t>Auto Posto souza II Ltda</t>
  </si>
  <si>
    <t>R. Francisco Mariano</t>
  </si>
  <si>
    <t>Posto Rede Verde Ltda</t>
  </si>
  <si>
    <t>33.817.696/0005-26</t>
  </si>
  <si>
    <t>R. Alterosa</t>
  </si>
  <si>
    <t>Vl Teixeira</t>
  </si>
  <si>
    <t>Sistel Sistemas Elétricos Ltda</t>
  </si>
  <si>
    <t>20.414.066/0005-69</t>
  </si>
  <si>
    <t>Valacio Calçados e Bolsas Ltda</t>
  </si>
  <si>
    <t>60.202.695/0001-16</t>
  </si>
  <si>
    <t>loja 1</t>
  </si>
  <si>
    <t>Laisi Francielle da Silva Coelho</t>
  </si>
  <si>
    <t>21.111.629/0001-89</t>
  </si>
  <si>
    <t>R. Cua</t>
  </si>
  <si>
    <t>Racine Tratores Ltda</t>
  </si>
  <si>
    <t>02.210.106/0003-07</t>
  </si>
  <si>
    <t>Ipanema Agrícola S/A</t>
  </si>
  <si>
    <t>42.135.913/0008-31</t>
  </si>
  <si>
    <t>Rod MG 179 KM 13</t>
  </si>
  <si>
    <t>Assoc. de Proteção e Assist. aos Condenados de Alfenas - APAC</t>
  </si>
  <si>
    <t>04.926.925/0001-19</t>
  </si>
  <si>
    <t>Rod Otoni Ferreira Barbosa</t>
  </si>
  <si>
    <t xml:space="preserve">Julian de Oliveira Alves </t>
  </si>
  <si>
    <t>861.846.442-20</t>
  </si>
  <si>
    <t>R. Guaiacuru</t>
  </si>
  <si>
    <t>Agropecuário Freitas Neto Ltda</t>
  </si>
  <si>
    <t>57.299.511/0001-73</t>
  </si>
  <si>
    <t>Rod AMG 1540</t>
  </si>
  <si>
    <t>Área Rural</t>
  </si>
  <si>
    <t>PVS Construções e Reformas Ltda</t>
  </si>
  <si>
    <t>47.615.205/0001-45</t>
  </si>
  <si>
    <t>Av Tancredo Neves</t>
  </si>
  <si>
    <t>sala 1005</t>
  </si>
  <si>
    <t>Caminho das Árvores</t>
  </si>
  <si>
    <t xml:space="preserve">Salvador </t>
  </si>
  <si>
    <t>BA</t>
  </si>
  <si>
    <t>Ricardo Cicinato da Silva</t>
  </si>
  <si>
    <t>098.628.456-43</t>
  </si>
  <si>
    <t>R. Alameda dos Jacarandás</t>
  </si>
  <si>
    <t>Pazotti Ltda</t>
  </si>
  <si>
    <t>52.612.033/0002-77</t>
  </si>
  <si>
    <t>Polimix Concreto Ltda</t>
  </si>
  <si>
    <t>29.067.113/0390-50</t>
  </si>
  <si>
    <t>Alfenas Boas Novas Church</t>
  </si>
  <si>
    <t>56.263.217/0001-49</t>
  </si>
  <si>
    <t>R. José Paraíso</t>
  </si>
  <si>
    <t>Jd América III</t>
  </si>
  <si>
    <t>Tropical Estufas Agrícolas Ltda</t>
  </si>
  <si>
    <t>01.473.805/0001-15</t>
  </si>
  <si>
    <t>Estrada Munic Fulvio Salvador Pagani</t>
  </si>
  <si>
    <t>Curitibanos</t>
  </si>
  <si>
    <t>Bragança Paulista</t>
  </si>
  <si>
    <t>Freitas Neto Incorporadora Ltda</t>
  </si>
  <si>
    <t>25.108.183/0001-94</t>
  </si>
  <si>
    <t>R. Pres Arthur Bernardes</t>
  </si>
  <si>
    <t>sala 2</t>
  </si>
  <si>
    <t>Auto Posto São Rafael de Alfenas</t>
  </si>
  <si>
    <t>28.148.180/0001-72</t>
  </si>
  <si>
    <t>Av Jovino Fernandes Sales</t>
  </si>
  <si>
    <t>Pinheirinho</t>
  </si>
  <si>
    <t>Assoc. dos Moaradores do Loteamento Residencial Euroville</t>
  </si>
  <si>
    <t>28.327.030/0001-26</t>
  </si>
  <si>
    <t>R. Capri</t>
  </si>
  <si>
    <t>Euroville</t>
  </si>
  <si>
    <t>Belic Construtora e Engenharia Ltda</t>
  </si>
  <si>
    <t>56.864.942/0001-72</t>
  </si>
  <si>
    <t>R. Antônio Esteves</t>
  </si>
  <si>
    <t>apto 102</t>
  </si>
  <si>
    <t>7 Irmãos Cafés do Brasil Ltda</t>
  </si>
  <si>
    <t>02.287.926/0001-35</t>
  </si>
  <si>
    <t>Vl Santa Edwirges</t>
  </si>
  <si>
    <t>Daniel da Cruz</t>
  </si>
  <si>
    <t>248.615.648/83</t>
  </si>
  <si>
    <t>Res Alto do Aeroporto</t>
  </si>
  <si>
    <t>Xangai Motos Ltda</t>
  </si>
  <si>
    <t>61.385.248/0001-02</t>
  </si>
  <si>
    <t>R. Comendador José Garcia</t>
  </si>
  <si>
    <t>Jd Santa Eliza</t>
  </si>
  <si>
    <t>Renato Domingos da Silva</t>
  </si>
  <si>
    <t>R. Venãncio Franco de Carvalho</t>
  </si>
  <si>
    <t>Bosque dos Ypes</t>
  </si>
  <si>
    <t>Pavidez Engenharia Ltda</t>
  </si>
  <si>
    <t>01.744.153/0001-06</t>
  </si>
  <si>
    <t>Av Vereador Dr Antero Verissimo da Costa</t>
  </si>
  <si>
    <t>33.817.696/0001-00</t>
  </si>
  <si>
    <t>Vl santa Edwirges</t>
  </si>
  <si>
    <t>Lar São Vicente de Paulo</t>
  </si>
  <si>
    <t>16.651.838/0001-85</t>
  </si>
  <si>
    <t>R. Martins Alfenas</t>
  </si>
  <si>
    <t>Veber Oliveira Morais</t>
  </si>
  <si>
    <t>440.283.936-04</t>
  </si>
  <si>
    <t>R. José Ferreira de Morais</t>
  </si>
  <si>
    <t>Areado 343 Incorporadora Ltda</t>
  </si>
  <si>
    <t>36.636.600/0001-98</t>
  </si>
  <si>
    <t>R. Catuquina</t>
  </si>
  <si>
    <t>José Carlos Munhoz Fernandes e outro(s)</t>
  </si>
  <si>
    <t>098.867.707-59</t>
  </si>
  <si>
    <t>Faz Icaraí</t>
  </si>
  <si>
    <t>Rion Led Ind Com e Serv Elét Ltda</t>
  </si>
  <si>
    <t>34.757.438/0001-30</t>
  </si>
  <si>
    <t>R. Maria Antonieta da Silva</t>
  </si>
  <si>
    <t>Res Alda Caetani</t>
  </si>
  <si>
    <t xml:space="preserve">Coopama - Unidade de Grãos Alfenas </t>
  </si>
  <si>
    <t>22.226.476/0024/74</t>
  </si>
  <si>
    <t>A Rural</t>
  </si>
  <si>
    <t>Top Invest Partic Societárias Ltda</t>
  </si>
  <si>
    <t>18.976.871/0001-00</t>
  </si>
  <si>
    <t>R. Senador Saraiva</t>
  </si>
  <si>
    <t>Sala 6-A 0</t>
  </si>
  <si>
    <t>André Lucas Flausino Pereira</t>
  </si>
  <si>
    <t>130.075.956-90</t>
  </si>
  <si>
    <t>R. Cassimiro de Abreu</t>
  </si>
  <si>
    <t>Ailton José da Silveira de Carvalho</t>
  </si>
  <si>
    <t>080.799.796-00</t>
  </si>
  <si>
    <t>R. General Costa Campos</t>
  </si>
  <si>
    <t>Athenas Informática - Assit Técnica</t>
  </si>
  <si>
    <t>31.472.480/0001-17</t>
  </si>
  <si>
    <t>ABC Distribuição de Petróleo Ltda</t>
  </si>
  <si>
    <t>13.117.591/0013-67</t>
  </si>
  <si>
    <t>R. Gabriel Monteiro da Silva</t>
  </si>
  <si>
    <t>Robson Fernandes Pires de Carvalho</t>
  </si>
  <si>
    <t>Av Dois Irmãos</t>
  </si>
  <si>
    <t>Serrania</t>
  </si>
  <si>
    <t>Inove Construções VZP Ltda</t>
  </si>
  <si>
    <t>09.435.440/0001-46</t>
  </si>
  <si>
    <t>Av Barão do Guaicuí</t>
  </si>
  <si>
    <t>Princesa</t>
  </si>
  <si>
    <t>Varzea da Palma</t>
  </si>
  <si>
    <t>Klinguer Vieira Douat</t>
  </si>
  <si>
    <t>154.291.646-15</t>
  </si>
  <si>
    <t>Café Campinho</t>
  </si>
  <si>
    <t>João da Costa Monteiro</t>
  </si>
  <si>
    <t>R. Portugal</t>
  </si>
  <si>
    <t>Parque das Nações</t>
  </si>
  <si>
    <t>Otávio Milagres Figueiredo</t>
  </si>
  <si>
    <t>072.624.926-24</t>
  </si>
  <si>
    <t>R. Ministro Salgado Filho</t>
  </si>
  <si>
    <t>Silvio de Souza Filho</t>
  </si>
  <si>
    <t>339.579.086-04</t>
  </si>
  <si>
    <t>R. das Orquídeas</t>
  </si>
  <si>
    <t>Vl Promessa</t>
  </si>
  <si>
    <t>DFG Engenharia e Manutenção</t>
  </si>
  <si>
    <t>41.406.417/0001-36</t>
  </si>
  <si>
    <t>R. José Júlio Moreira</t>
  </si>
  <si>
    <t>Bela Vista</t>
  </si>
  <si>
    <t>Congonhal</t>
  </si>
  <si>
    <t>Multigrãos Armazens Gerais Ltda</t>
  </si>
  <si>
    <t>17.382.322/0002-26</t>
  </si>
  <si>
    <t>Construtora América BR Ltda</t>
  </si>
  <si>
    <t>51.973.478/0001-39</t>
  </si>
  <si>
    <t>Rod BR 491 Atual Rod Domingos Ribeiro Resende</t>
  </si>
  <si>
    <t>km 175</t>
  </si>
  <si>
    <t>Estiva ou Rodeio</t>
  </si>
  <si>
    <t xml:space="preserve">Mega Locação </t>
  </si>
  <si>
    <t>40.864.242/0001-48</t>
  </si>
  <si>
    <t>R. Andorinha</t>
  </si>
  <si>
    <t>Res Floretsa</t>
  </si>
  <si>
    <t>OLAMFER Const Ltda</t>
  </si>
  <si>
    <t>27.076.570/0001-11</t>
  </si>
  <si>
    <t>Cacel Com. de Automóveis Cental Ltda</t>
  </si>
  <si>
    <t>24.731.978/0007-87</t>
  </si>
  <si>
    <t>Pça. Dr Emílio da Silveira</t>
  </si>
  <si>
    <t>Villa Real Incorporações SPE Ltda</t>
  </si>
  <si>
    <t>42.981.338/0001-11</t>
  </si>
  <si>
    <t>Rod BR 491 KM 176</t>
  </si>
  <si>
    <t>Inovar Eng e Pavimentação Ltda - ME</t>
  </si>
  <si>
    <t>12.799.453/0001-09</t>
  </si>
  <si>
    <t>apto 07</t>
  </si>
  <si>
    <t>Ouro Safra Ltda</t>
  </si>
  <si>
    <t>07.191.228/0057-00</t>
  </si>
  <si>
    <t>Av. Mário Barbosa Vieira</t>
  </si>
  <si>
    <t>Metal Arte Serralheria e Serviços Ltda</t>
  </si>
  <si>
    <t>28.020.452/0001-54</t>
  </si>
  <si>
    <t>Av Mariquinha Gomes</t>
  </si>
  <si>
    <t>Nova Era</t>
  </si>
  <si>
    <t>Boa Esperança</t>
  </si>
  <si>
    <t>Maycon Prado Rocha Silva</t>
  </si>
  <si>
    <t>067.919.926-89</t>
  </si>
  <si>
    <t>R. Paris</t>
  </si>
  <si>
    <t>Tema Engenharia</t>
  </si>
  <si>
    <t>40.686.259/0001-52</t>
  </si>
  <si>
    <t>R. Espirito Santo</t>
  </si>
  <si>
    <t>1º andar</t>
  </si>
  <si>
    <t>Lurdes</t>
  </si>
  <si>
    <t>Telsite Solutions Ltda</t>
  </si>
  <si>
    <t>36.825.910/0001-50</t>
  </si>
  <si>
    <t>Av Moacir Portugal Linhares</t>
  </si>
  <si>
    <t>Galpão 3 sala 01</t>
  </si>
  <si>
    <t>Dist Industrial I</t>
  </si>
  <si>
    <t>Nova Granada</t>
  </si>
  <si>
    <t>Marina Fama Club</t>
  </si>
  <si>
    <t>37.610.385/0001-19</t>
  </si>
  <si>
    <t>Av Prefeito Antônio Quintino da Silva</t>
  </si>
  <si>
    <t>Lago Azul</t>
  </si>
  <si>
    <t>Bruno Felipe Oliveira</t>
  </si>
  <si>
    <t>R. Claudina Machado</t>
  </si>
  <si>
    <t>Retífica Alfenas Ltda</t>
  </si>
  <si>
    <t>02.169.636/0001-97</t>
  </si>
  <si>
    <t>Rod BR 491 KM 177</t>
  </si>
  <si>
    <t>22.656.847/0001-61</t>
  </si>
  <si>
    <t>Rod Alfenas /Campos Gerais km 6</t>
  </si>
  <si>
    <t>Coastal Construções Ltda</t>
  </si>
  <si>
    <t>29.116.610/0001-37</t>
  </si>
  <si>
    <t>. das Acácias</t>
  </si>
  <si>
    <t>sala 1103</t>
  </si>
  <si>
    <t>Vale do Sereno</t>
  </si>
  <si>
    <t>Nova Lima</t>
  </si>
  <si>
    <t>Diamond Móveis Planejados</t>
  </si>
  <si>
    <t>28.354.707/0001-15</t>
  </si>
  <si>
    <t>R. Duque de Caxias</t>
  </si>
  <si>
    <t>Gestalt Fachada em ACM Ltda - ME</t>
  </si>
  <si>
    <t>26.343.404/0001-71</t>
  </si>
  <si>
    <t>R. Antônio Scodeler</t>
  </si>
  <si>
    <t>Faisqueira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</si>
</sst>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0"/>
    <numFmt numFmtId="165" formatCode="dd/mm/yyyy"/>
    <numFmt numFmtId="166" formatCode="000-000-000-00"/>
    <numFmt numFmtId="167" formatCode="00-000-000-0000-00"/>
    <numFmt numFmtId="168" formatCode="(00)0 0000-0000"/>
    <numFmt numFmtId="169" formatCode="_([$R$ -416]* #,##0.00_);_([$R$ -416]* \(#,##0.00\);_([$R$ -416]* &quot;-&quot;??_);_(@_)"/>
    <numFmt numFmtId="170" formatCode="CL0000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/>
    <font>
      <b/>
      <sz val="18.0"/>
      <color rgb="FF000000"/>
      <name val="Calibri"/>
    </font>
    <font>
      <b/>
      <sz val="16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b/>
      <color rgb="FF000000"/>
      <name val="Calibri"/>
    </font>
    <font>
      <sz val="11.0"/>
      <color rgb="FF000000"/>
      <name val="Inconsolata"/>
    </font>
    <font>
      <sz val="11.0"/>
      <color theme="1"/>
      <name val="Calibri"/>
    </font>
    <font>
      <i/>
      <sz val="11.0"/>
      <color rgb="FF000000"/>
      <name val="Calibri"/>
    </font>
    <font>
      <color rgb="FF000000"/>
      <name val="Calibri"/>
    </font>
    <font>
      <b/>
      <sz val="12.0"/>
      <color rgb="FF000000"/>
      <name val="Calibri"/>
    </font>
    <font>
      <sz val="9.0"/>
      <color rgb="FF000000"/>
      <name val="Calibri"/>
    </font>
    <font>
      <color rgb="FF000000"/>
      <name val="Roboto"/>
    </font>
    <font>
      <sz val="10.0"/>
      <color theme="1"/>
      <name val="Arial"/>
      <scheme val="minor"/>
    </font>
    <font>
      <sz val="11.0"/>
      <color theme="1"/>
      <name val="Arial"/>
    </font>
    <font>
      <sz val="10.0"/>
      <color theme="1"/>
      <name val="Arial"/>
    </font>
    <font>
      <sz val="12.0"/>
      <color rgb="FF000000"/>
      <name val="Arial"/>
      <scheme val="minor"/>
    </font>
    <font>
      <sz val="9.0"/>
      <color rgb="FF000000"/>
      <name val="Arial"/>
    </font>
    <font>
      <color rgb="FF000000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6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3" numFmtId="0" xfId="0" applyBorder="1" applyFont="1"/>
    <xf borderId="2" fillId="0" fontId="2" numFmtId="0" xfId="0" applyAlignment="1" applyBorder="1" applyFont="1">
      <alignment horizontal="center" readingOrder="0" shrinkToFit="0" vertical="center" wrapText="0"/>
    </xf>
    <xf borderId="3" fillId="2" fontId="4" numFmtId="0" xfId="0" applyAlignment="1" applyBorder="1" applyFill="1" applyFont="1">
      <alignment horizontal="center" readingOrder="0" shrinkToFit="0" vertical="center" wrapText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6" fillId="2" fontId="5" numFmtId="0" xfId="0" applyAlignment="1" applyBorder="1" applyFont="1">
      <alignment horizontal="center" readingOrder="0" shrinkToFit="0" vertical="center" wrapText="0"/>
    </xf>
    <xf borderId="0" fillId="2" fontId="5" numFmtId="164" xfId="0" applyAlignment="1" applyFont="1" applyNumberFormat="1">
      <alignment horizontal="center" readingOrder="0" shrinkToFit="0" vertical="center" wrapText="0"/>
    </xf>
    <xf borderId="8" fillId="0" fontId="3" numFmtId="0" xfId="0" applyBorder="1" applyFont="1"/>
    <xf borderId="9" fillId="0" fontId="3" numFmtId="0" xfId="0" applyBorder="1" applyFont="1"/>
    <xf borderId="9" fillId="0" fontId="2" numFmtId="0" xfId="0" applyAlignment="1" applyBorder="1" applyFont="1">
      <alignment horizontal="center" readingOrder="0" shrinkToFit="0" wrapText="0"/>
    </xf>
    <xf borderId="10" fillId="2" fontId="6" numFmtId="0" xfId="0" applyAlignment="1" applyBorder="1" applyFont="1">
      <alignment horizontal="center" readingOrder="0" shrinkToFit="0" vertical="bottom" wrapText="0"/>
    </xf>
    <xf borderId="9" fillId="2" fontId="6" numFmtId="165" xfId="0" applyAlignment="1" applyBorder="1" applyFont="1" applyNumberFormat="1">
      <alignment horizontal="center" readingOrder="0" shrinkToFit="0" vertical="bottom" wrapText="0"/>
    </xf>
    <xf borderId="11" fillId="0" fontId="3" numFmtId="0" xfId="0" applyBorder="1" applyFont="1"/>
    <xf borderId="5" fillId="0" fontId="2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7" fillId="0" fontId="2" numFmtId="0" xfId="0" applyAlignment="1" applyBorder="1" applyFont="1">
      <alignment horizontal="center" shrinkToFit="0" wrapText="0"/>
    </xf>
    <xf borderId="5" fillId="0" fontId="7" numFmtId="0" xfId="0" applyAlignment="1" applyBorder="1" applyFont="1">
      <alignment horizontal="left" shrinkToFit="0" wrapText="0"/>
    </xf>
    <xf borderId="0" fillId="0" fontId="7" numFmtId="0" xfId="0" applyAlignment="1" applyFont="1">
      <alignment horizontal="left" readingOrder="0" shrinkToFit="0" wrapText="0"/>
    </xf>
    <xf borderId="5" fillId="0" fontId="8" numFmtId="0" xfId="0" applyAlignment="1" applyBorder="1" applyFont="1">
      <alignment horizontal="center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center" readingOrder="0" shrinkToFit="0" wrapText="0"/>
    </xf>
    <xf borderId="5" fillId="0" fontId="2" numFmtId="0" xfId="0" applyAlignment="1" applyBorder="1" applyFont="1">
      <alignment horizontal="center" readingOrder="0" shrinkToFit="0" wrapText="0"/>
    </xf>
    <xf borderId="0" fillId="3" fontId="9" numFmtId="166" xfId="0" applyFill="1" applyFont="1" applyNumberFormat="1"/>
    <xf borderId="0" fillId="3" fontId="9" numFmtId="167" xfId="0" applyFont="1" applyNumberFormat="1"/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7" fillId="0" fontId="8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5" fillId="0" fontId="8" numFmtId="0" xfId="0" applyAlignment="1" applyBorder="1" applyFont="1">
      <alignment horizontal="left" shrinkToFit="0" wrapText="0"/>
    </xf>
    <xf borderId="0" fillId="0" fontId="2" numFmtId="168" xfId="0" applyAlignment="1" applyFont="1" applyNumberFormat="1">
      <alignment horizontal="left" shrinkToFit="0" wrapText="0"/>
    </xf>
    <xf borderId="12" fillId="0" fontId="2" numFmtId="0" xfId="0" applyAlignment="1" applyBorder="1" applyFont="1">
      <alignment horizontal="center" shrinkToFit="0" wrapText="0"/>
    </xf>
    <xf borderId="13" fillId="0" fontId="2" numFmtId="0" xfId="0" applyAlignment="1" applyBorder="1" applyFont="1">
      <alignment horizontal="center" shrinkToFit="0" wrapText="0"/>
    </xf>
    <xf borderId="14" fillId="0" fontId="2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left" shrinkToFit="0" wrapText="0"/>
    </xf>
    <xf borderId="0" fillId="0" fontId="8" numFmtId="0" xfId="0" applyAlignment="1" applyFont="1">
      <alignment horizontal="right" readingOrder="0" shrinkToFit="0" wrapText="0"/>
    </xf>
    <xf borderId="0" fillId="0" fontId="1" numFmtId="0" xfId="0" applyAlignment="1" applyFont="1">
      <alignment horizontal="left" readingOrder="0"/>
    </xf>
    <xf borderId="0" fillId="0" fontId="8" numFmtId="0" xfId="0" applyAlignment="1" applyFont="1">
      <alignment horizontal="left" shrinkToFit="0" wrapText="0"/>
    </xf>
    <xf borderId="0" fillId="0" fontId="8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7" fillId="0" fontId="7" numFmtId="0" xfId="0" applyAlignment="1" applyBorder="1" applyFont="1">
      <alignment horizontal="left" shrinkToFit="0" wrapText="0"/>
    </xf>
    <xf borderId="15" fillId="2" fontId="2" numFmtId="0" xfId="0" applyAlignment="1" applyBorder="1" applyFont="1">
      <alignment horizontal="center" shrinkToFit="0" wrapText="0"/>
    </xf>
    <xf borderId="16" fillId="2" fontId="7" numFmtId="0" xfId="0" applyAlignment="1" applyBorder="1" applyFont="1">
      <alignment horizontal="center" shrinkToFit="0" wrapText="0"/>
    </xf>
    <xf borderId="16" fillId="2" fontId="7" numFmtId="0" xfId="0" applyAlignment="1" applyBorder="1" applyFont="1">
      <alignment horizontal="center" readingOrder="0" shrinkToFit="0" wrapText="0"/>
    </xf>
    <xf borderId="16" fillId="0" fontId="3" numFmtId="0" xfId="0" applyBorder="1" applyFont="1"/>
    <xf borderId="17" fillId="2" fontId="7" numFmtId="0" xfId="0" applyAlignment="1" applyBorder="1" applyFont="1">
      <alignment horizontal="center" readingOrder="0" shrinkToFit="0" wrapText="0"/>
    </xf>
    <xf borderId="0" fillId="4" fontId="10" numFmtId="0" xfId="0" applyAlignment="1" applyFill="1" applyFont="1">
      <alignment horizontal="center" readingOrder="0" vertical="bottom"/>
    </xf>
    <xf borderId="0" fillId="0" fontId="2" numFmtId="169" xfId="0" applyAlignment="1" applyFont="1" applyNumberFormat="1">
      <alignment horizontal="center" readingOrder="0" shrinkToFit="0" wrapText="0"/>
    </xf>
    <xf borderId="0" fillId="4" fontId="2" numFmtId="169" xfId="0" applyAlignment="1" applyFont="1" applyNumberFormat="1">
      <alignment horizontal="center" readingOrder="0" shrinkToFit="0" wrapText="0"/>
    </xf>
    <xf borderId="7" fillId="0" fontId="11" numFmtId="0" xfId="0" applyAlignment="1" applyBorder="1" applyFont="1">
      <alignment horizontal="center" readingOrder="0" shrinkToFit="0" wrapText="0"/>
    </xf>
    <xf borderId="5" fillId="4" fontId="2" numFmtId="0" xfId="0" applyAlignment="1" applyBorder="1" applyFont="1">
      <alignment horizontal="center" shrinkToFit="0" wrapText="0"/>
    </xf>
    <xf borderId="0" fillId="4" fontId="2" numFmtId="0" xfId="0" applyAlignment="1" applyFont="1">
      <alignment horizontal="center" readingOrder="0" shrinkToFit="0" wrapText="0"/>
    </xf>
    <xf borderId="7" fillId="4" fontId="2" numFmtId="0" xfId="0" applyAlignment="1" applyBorder="1" applyFont="1">
      <alignment horizontal="center" readingOrder="0" shrinkToFit="0" wrapText="0"/>
    </xf>
    <xf borderId="0" fillId="4" fontId="2" numFmtId="0" xfId="0" applyAlignment="1" applyFont="1">
      <alignment horizontal="center" shrinkToFit="0" wrapText="0"/>
    </xf>
    <xf borderId="7" fillId="4" fontId="2" numFmtId="169" xfId="0" applyAlignment="1" applyBorder="1" applyFont="1" applyNumberFormat="1">
      <alignment horizontal="center" readingOrder="0" shrinkToFit="0" wrapText="0"/>
    </xf>
    <xf borderId="7" fillId="3" fontId="2" numFmtId="0" xfId="0" applyAlignment="1" applyBorder="1" applyFont="1">
      <alignment horizontal="center" shrinkToFit="0" wrapText="0"/>
    </xf>
    <xf borderId="5" fillId="3" fontId="2" numFmtId="0" xfId="0" applyAlignment="1" applyBorder="1" applyFont="1">
      <alignment horizontal="center" shrinkToFit="0" wrapText="0"/>
    </xf>
    <xf borderId="0" fillId="3" fontId="2" numFmtId="0" xfId="0" applyAlignment="1" applyFont="1">
      <alignment horizontal="center" shrinkToFit="0" wrapText="0"/>
    </xf>
    <xf borderId="15" fillId="0" fontId="6" numFmtId="0" xfId="0" applyAlignment="1" applyBorder="1" applyFont="1">
      <alignment horizontal="right" readingOrder="0" shrinkToFit="0" vertical="center" wrapText="0"/>
    </xf>
    <xf borderId="16" fillId="0" fontId="6" numFmtId="169" xfId="0" applyAlignment="1" applyBorder="1" applyFont="1" applyNumberFormat="1">
      <alignment horizontal="left" readingOrder="0" shrinkToFit="0" vertical="center" wrapText="0"/>
    </xf>
    <xf borderId="17" fillId="0" fontId="3" numFmtId="0" xfId="0" applyBorder="1" applyFont="1"/>
    <xf borderId="18" fillId="0" fontId="7" numFmtId="0" xfId="0" applyAlignment="1" applyBorder="1" applyFont="1">
      <alignment horizontal="left" readingOrder="0" shrinkToFit="0" wrapText="1"/>
    </xf>
    <xf borderId="19" fillId="0" fontId="3" numFmtId="0" xfId="0" applyBorder="1" applyFont="1"/>
    <xf borderId="20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8" fillId="0" fontId="12" numFmtId="0" xfId="0" applyAlignment="1" applyBorder="1" applyFont="1">
      <alignment horizontal="center" shrinkToFit="0" wrapText="0"/>
    </xf>
    <xf borderId="5" fillId="0" fontId="12" numFmtId="0" xfId="0" applyAlignment="1" applyBorder="1" applyFont="1">
      <alignment horizontal="center" readingOrder="0" shrinkToFit="0" wrapText="0"/>
    </xf>
    <xf borderId="5" fillId="0" fontId="4" numFmtId="0" xfId="0" applyAlignment="1" applyBorder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13" fillId="0" fontId="2" numFmtId="0" xfId="0" applyAlignment="1" applyBorder="1" applyFont="1">
      <alignment horizontal="center" readingOrder="0" shrinkToFit="0" wrapText="0"/>
    </xf>
    <xf borderId="14" fillId="0" fontId="2" numFmtId="0" xfId="0" applyAlignment="1" applyBorder="1" applyFont="1">
      <alignment horizontal="center" readingOrder="0" shrinkToFit="0" wrapText="0"/>
    </xf>
    <xf borderId="15" fillId="0" fontId="14" numFmtId="0" xfId="0" applyAlignment="1" applyBorder="1" applyFont="1">
      <alignment horizontal="left" readingOrder="0" shrinkToFit="0" vertical="top" wrapText="0"/>
    </xf>
    <xf borderId="21" fillId="0" fontId="3" numFmtId="0" xfId="0" applyBorder="1" applyFont="1"/>
    <xf borderId="16" fillId="0" fontId="7" numFmtId="0" xfId="0" applyAlignment="1" applyBorder="1" applyFont="1">
      <alignment horizontal="center" readingOrder="0" shrinkToFit="0" vertical="bottom" wrapText="0"/>
    </xf>
    <xf borderId="18" fillId="0" fontId="12" numFmtId="0" xfId="0" applyAlignment="1" applyBorder="1" applyFont="1">
      <alignment horizontal="left" readingOrder="0" shrinkToFit="0" vertical="top" wrapText="0"/>
    </xf>
    <xf borderId="22" fillId="0" fontId="3" numFmtId="0" xfId="0" applyBorder="1" applyFont="1"/>
    <xf borderId="19" fillId="0" fontId="14" numFmtId="0" xfId="0" applyAlignment="1" applyBorder="1" applyFont="1">
      <alignment horizontal="left" readingOrder="0" shrinkToFit="0" vertical="top" wrapText="0"/>
    </xf>
    <xf borderId="23" fillId="0" fontId="6" numFmtId="0" xfId="0" applyAlignment="1" applyBorder="1" applyFont="1">
      <alignment horizontal="center" readingOrder="0" shrinkToFit="0" vertical="center" wrapText="0"/>
    </xf>
    <xf borderId="0" fillId="3" fontId="6" numFmtId="164" xfId="0" applyAlignment="1" applyFont="1" applyNumberFormat="1">
      <alignment horizontal="center" readingOrder="0" vertical="center"/>
    </xf>
    <xf borderId="24" fillId="0" fontId="3" numFmtId="0" xfId="0" applyBorder="1" applyFont="1"/>
    <xf borderId="25" fillId="0" fontId="3" numFmtId="0" xfId="0" applyBorder="1" applyFont="1"/>
    <xf borderId="8" fillId="0" fontId="2" numFmtId="0" xfId="0" applyAlignment="1" applyBorder="1" applyFont="1">
      <alignment horizontal="left" readingOrder="0" shrinkToFit="0" wrapText="0"/>
    </xf>
    <xf borderId="9" fillId="0" fontId="2" numFmtId="0" xfId="0" applyAlignment="1" applyBorder="1" applyFont="1">
      <alignment horizontal="center" shrinkToFit="0" wrapText="0"/>
    </xf>
    <xf borderId="11" fillId="0" fontId="2" numFmtId="0" xfId="0" applyAlignment="1" applyBorder="1" applyFont="1">
      <alignment horizontal="center" shrinkToFit="0" wrapText="0"/>
    </xf>
    <xf borderId="0" fillId="0" fontId="1" numFmtId="17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168" xfId="0" applyAlignment="1" applyFont="1" applyNumberFormat="1">
      <alignment horizontal="left" readingOrder="0"/>
    </xf>
    <xf borderId="0" fillId="0" fontId="1" numFmtId="166" xfId="0" applyAlignment="1" applyFont="1" applyNumberFormat="1">
      <alignment horizontal="left" readingOrder="0"/>
    </xf>
    <xf borderId="0" fillId="0" fontId="1" numFmtId="167" xfId="0" applyAlignment="1" applyFont="1" applyNumberFormat="1">
      <alignment readingOrder="0"/>
    </xf>
    <xf borderId="0" fillId="3" fontId="15" numFmtId="0" xfId="0" applyAlignment="1" applyFont="1">
      <alignment readingOrder="0"/>
    </xf>
    <xf borderId="0" fillId="0" fontId="16" numFmtId="166" xfId="0" applyAlignment="1" applyFont="1" applyNumberFormat="1">
      <alignment horizontal="left" readingOrder="0"/>
    </xf>
    <xf borderId="0" fillId="3" fontId="12" numFmtId="0" xfId="0" applyAlignment="1" applyFont="1">
      <alignment horizontal="left" readingOrder="0"/>
    </xf>
    <xf borderId="0" fillId="0" fontId="17" numFmtId="0" xfId="0" applyAlignment="1" applyFont="1">
      <alignment readingOrder="0"/>
    </xf>
    <xf borderId="0" fillId="0" fontId="18" numFmtId="166" xfId="0" applyAlignment="1" applyFont="1" applyNumberFormat="1">
      <alignment readingOrder="0"/>
    </xf>
    <xf borderId="0" fillId="0" fontId="17" numFmtId="168" xfId="0" applyAlignment="1" applyFont="1" applyNumberFormat="1">
      <alignment horizontal="left" readingOrder="0"/>
    </xf>
    <xf borderId="0" fillId="0" fontId="17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shrinkToFit="0" wrapText="0"/>
    </xf>
    <xf borderId="0" fillId="0" fontId="0" numFmtId="166" xfId="0" applyAlignment="1" applyFont="1" applyNumberFormat="1">
      <alignment readingOrder="0" shrinkToFit="0" wrapText="0"/>
    </xf>
    <xf borderId="0" fillId="0" fontId="1" numFmtId="166" xfId="0" applyAlignment="1" applyFont="1" applyNumberFormat="1">
      <alignment horizontal="left"/>
    </xf>
    <xf borderId="0" fillId="0" fontId="1" numFmtId="167" xfId="0" applyFont="1" applyNumberFormat="1"/>
    <xf borderId="0" fillId="0" fontId="1" numFmtId="0" xfId="0" applyAlignment="1" applyFont="1">
      <alignment horizontal="center"/>
    </xf>
    <xf borderId="0" fillId="0" fontId="1" numFmtId="168" xfId="0" applyAlignment="1" applyFont="1" applyNumberFormat="1">
      <alignment horizontal="left"/>
    </xf>
    <xf borderId="0" fillId="3" fontId="20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3" fontId="21" numFmtId="0" xfId="0" applyAlignment="1" applyFont="1">
      <alignment horizontal="left" readingOrder="0"/>
    </xf>
    <xf borderId="0" fillId="3" fontId="22" numFmtId="0" xfId="0" applyAlignment="1" applyFont="1">
      <alignment readingOrder="0"/>
    </xf>
    <xf borderId="0" fillId="0" fontId="1" numFmtId="170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19050</xdr:colOff>
      <xdr:row>0</xdr:row>
      <xdr:rowOff>114300</xdr:rowOff>
    </xdr:from>
    <xdr:ext cx="1314450" cy="533400"/>
    <xdr:sp>
      <xdr:nvSpPr>
        <xdr:cNvPr id="3" name="Shape 3"/>
        <xdr:cNvSpPr/>
      </xdr:nvSpPr>
      <xdr:spPr>
        <a:xfrm>
          <a:off x="2024675" y="756700"/>
          <a:ext cx="1523700" cy="603300"/>
        </a:xfrm>
        <a:prstGeom prst="ellipse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700" u="sng">
              <a:latin typeface="Caveat"/>
              <a:ea typeface="Caveat"/>
              <a:cs typeface="Caveat"/>
              <a:sym typeface="Caveat"/>
            </a:rPr>
            <a:t>NOVA FATURA</a:t>
          </a:r>
          <a:endParaRPr b="1" sz="1700" u="sng">
            <a:latin typeface="Caveat"/>
            <a:ea typeface="Caveat"/>
            <a:cs typeface="Caveat"/>
            <a:sym typeface="Caveat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81000" cy="123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</xdr:row>
      <xdr:rowOff>0</xdr:rowOff>
    </xdr:from>
    <xdr:ext cx="962025" cy="96202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flaviacompras@elloconstrutora.net.br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J4" s="1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3.88"/>
    <col customWidth="1" min="8" max="8" width="17.5"/>
  </cols>
  <sheetData>
    <row r="1" ht="9.75" customHeight="1">
      <c r="A1" s="2"/>
      <c r="B1" s="3"/>
      <c r="C1" s="3"/>
      <c r="D1" s="3"/>
      <c r="E1" s="3"/>
      <c r="F1" s="4" t="s">
        <v>0</v>
      </c>
      <c r="G1" s="3"/>
      <c r="H1" s="3"/>
      <c r="I1" s="5" t="s">
        <v>1</v>
      </c>
      <c r="J1" s="3"/>
      <c r="K1" s="6"/>
    </row>
    <row r="2">
      <c r="A2" s="7"/>
      <c r="I2" s="8"/>
      <c r="K2" s="9"/>
    </row>
    <row r="3">
      <c r="A3" s="7"/>
      <c r="I3" s="8"/>
      <c r="K3" s="9"/>
    </row>
    <row r="4">
      <c r="A4" s="7"/>
      <c r="F4" s="10" t="s">
        <v>2</v>
      </c>
      <c r="I4" s="11" t="s">
        <v>3</v>
      </c>
      <c r="J4" s="12">
        <v>1217.0</v>
      </c>
      <c r="K4" s="9"/>
    </row>
    <row r="5" ht="31.5" customHeight="1">
      <c r="A5" s="7"/>
      <c r="I5" s="8"/>
      <c r="K5" s="9"/>
    </row>
    <row r="6">
      <c r="A6" s="13"/>
      <c r="B6" s="14"/>
      <c r="C6" s="14"/>
      <c r="D6" s="14"/>
      <c r="E6" s="14"/>
      <c r="F6" s="15" t="s">
        <v>4</v>
      </c>
      <c r="G6" s="14"/>
      <c r="H6" s="14"/>
      <c r="I6" s="16" t="s">
        <v>5</v>
      </c>
      <c r="J6" s="17">
        <v>46114.0</v>
      </c>
      <c r="K6" s="18"/>
    </row>
    <row r="7">
      <c r="A7" s="19"/>
      <c r="B7" s="20"/>
      <c r="C7" s="20"/>
      <c r="D7" s="20"/>
      <c r="E7" s="20"/>
      <c r="F7" s="20"/>
      <c r="G7" s="20"/>
      <c r="H7" s="20"/>
      <c r="I7" s="20"/>
      <c r="J7" s="20"/>
      <c r="K7" s="21"/>
    </row>
    <row r="8">
      <c r="A8" s="22"/>
      <c r="B8" s="23" t="s">
        <v>6</v>
      </c>
      <c r="D8" s="20"/>
      <c r="E8" s="20"/>
      <c r="F8" s="20"/>
      <c r="G8" s="20"/>
      <c r="H8" s="20"/>
      <c r="I8" s="20"/>
      <c r="J8" s="20"/>
      <c r="K8" s="21"/>
    </row>
    <row r="9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</row>
    <row r="10">
      <c r="A10" s="24" t="s">
        <v>7</v>
      </c>
      <c r="B10" s="25" t="s">
        <v>8</v>
      </c>
      <c r="E10" s="20"/>
      <c r="F10" s="20"/>
      <c r="G10" s="26" t="s">
        <v>9</v>
      </c>
      <c r="H10" s="26" t="s">
        <v>10</v>
      </c>
      <c r="I10" s="20"/>
      <c r="J10" s="20"/>
      <c r="K10" s="21"/>
    </row>
    <row r="11">
      <c r="A11" s="27">
        <v>204.0</v>
      </c>
      <c r="B11" s="1" t="str">
        <f>VLOOKUP(A11,CLIENTE!A:L,2,0)</f>
        <v>Gestalt Fachada em ACM Ltda - ME</v>
      </c>
      <c r="C11" s="20"/>
      <c r="D11" s="20"/>
      <c r="E11" s="20"/>
      <c r="F11" s="20"/>
      <c r="G11" s="28" t="str">
        <f>VLOOKUP(A11,CLIENTE!A:L,3,0)</f>
        <v/>
      </c>
      <c r="H11" s="29" t="str">
        <f>VLOOKUP(A11,CLIENTE!A:L,4,0)</f>
        <v>26.343.404/0001-71</v>
      </c>
      <c r="I11" s="20"/>
      <c r="J11" s="20"/>
      <c r="K11" s="21"/>
    </row>
    <row r="12">
      <c r="A12" s="27"/>
      <c r="B12" s="25" t="s">
        <v>11</v>
      </c>
      <c r="C12" s="20"/>
      <c r="D12" s="30" t="s">
        <v>12</v>
      </c>
      <c r="E12" s="20"/>
      <c r="F12" s="20"/>
      <c r="G12" s="25" t="s">
        <v>13</v>
      </c>
      <c r="H12" s="20"/>
      <c r="I12" s="25" t="s">
        <v>14</v>
      </c>
      <c r="J12" s="31"/>
      <c r="K12" s="32"/>
    </row>
    <row r="13">
      <c r="A13" s="27" t="s">
        <v>15</v>
      </c>
      <c r="B13" s="33" t="str">
        <f>VLOOKUP(A11,CLIENTE!A:L,7,0)</f>
        <v>R. Antônio Scodeler</v>
      </c>
      <c r="C13" s="20"/>
      <c r="D13" s="20">
        <f>VLOOKUP(A11,CLIENTE!A:L,8,0)</f>
        <v>630</v>
      </c>
      <c r="E13" s="20"/>
      <c r="F13" s="20"/>
      <c r="G13" s="33" t="str">
        <f>VLOOKUP(A11,CLIENTE!A:L,10,0)</f>
        <v>Faisqueira</v>
      </c>
      <c r="H13" s="20"/>
      <c r="I13" s="33" t="str">
        <f>VLOOKUP(A11,CLIENTE!A:L,12,0)</f>
        <v>MG</v>
      </c>
      <c r="J13" s="20"/>
      <c r="K13" s="21"/>
    </row>
    <row r="14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1"/>
    </row>
    <row r="15">
      <c r="A15" s="34"/>
      <c r="B15" s="25" t="s">
        <v>16</v>
      </c>
      <c r="C15" s="20"/>
      <c r="D15" s="20"/>
      <c r="E15" s="20"/>
      <c r="F15" s="20"/>
      <c r="G15" s="25" t="s">
        <v>17</v>
      </c>
      <c r="H15" s="25"/>
      <c r="I15" s="31"/>
      <c r="K15" s="21"/>
    </row>
    <row r="16">
      <c r="A16" s="19"/>
      <c r="B16" s="33" t="str">
        <f>VLOOKUP(A11,CLIENTE!A:L,11,0)</f>
        <v>Pouso Alegre</v>
      </c>
      <c r="C16" s="20"/>
      <c r="D16" s="20"/>
      <c r="E16" s="30"/>
      <c r="F16" s="20"/>
      <c r="G16" s="35" t="str">
        <f>VLOOKUP(A11,CLIENTE!A:L,5,0)</f>
        <v/>
      </c>
      <c r="H16" s="20"/>
      <c r="I16" s="20"/>
      <c r="J16" s="20"/>
      <c r="K16" s="21"/>
    </row>
    <row r="17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8"/>
    </row>
    <row r="18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1"/>
    </row>
    <row r="19">
      <c r="A19" s="19"/>
      <c r="B19" s="39" t="s">
        <v>18</v>
      </c>
      <c r="D19" s="40"/>
      <c r="E19" s="39" t="s">
        <v>19</v>
      </c>
      <c r="G19" s="40"/>
      <c r="H19" s="20"/>
      <c r="I19" s="20"/>
      <c r="J19" s="20"/>
      <c r="K19" s="21"/>
    </row>
    <row r="20">
      <c r="A20" s="19"/>
      <c r="B20" s="40"/>
      <c r="C20" s="40"/>
      <c r="D20" s="40"/>
      <c r="E20" s="40"/>
      <c r="F20" s="40"/>
      <c r="G20" s="40"/>
      <c r="H20" s="20"/>
      <c r="I20" s="20"/>
      <c r="J20" s="20"/>
      <c r="K20" s="21"/>
    </row>
    <row r="21">
      <c r="A21" s="19"/>
      <c r="B21" s="41" t="s">
        <v>20</v>
      </c>
      <c r="C21" s="42" t="s">
        <v>15</v>
      </c>
      <c r="D21" s="43"/>
      <c r="E21" s="26" t="s">
        <v>21</v>
      </c>
      <c r="G21" s="43"/>
      <c r="H21" s="20"/>
      <c r="I21" s="20"/>
      <c r="J21" s="20"/>
      <c r="K21" s="21"/>
    </row>
    <row r="22">
      <c r="A22" s="19"/>
      <c r="B22" s="40"/>
      <c r="C22" s="44" t="s">
        <v>15</v>
      </c>
      <c r="D22" s="40"/>
      <c r="E22" s="40"/>
      <c r="F22" s="40"/>
      <c r="G22" s="40"/>
      <c r="H22" s="20"/>
      <c r="I22" s="20"/>
      <c r="J22" s="20"/>
      <c r="K22" s="21"/>
    </row>
    <row r="23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8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1"/>
    </row>
    <row r="25">
      <c r="A25" s="19"/>
      <c r="B25" s="23" t="s">
        <v>22</v>
      </c>
      <c r="H25" s="20"/>
      <c r="I25" s="20"/>
      <c r="J25" s="20"/>
      <c r="K25" s="21"/>
    </row>
    <row r="26">
      <c r="A26" s="19"/>
      <c r="B26" s="30" t="s">
        <v>15</v>
      </c>
      <c r="C26" s="23"/>
      <c r="H26" s="20"/>
      <c r="I26" s="20"/>
      <c r="J26" s="20"/>
      <c r="K26" s="21"/>
    </row>
    <row r="27">
      <c r="A27" s="19"/>
      <c r="B27" s="30" t="s">
        <v>23</v>
      </c>
      <c r="C27" s="45" t="s">
        <v>24</v>
      </c>
      <c r="H27" s="20"/>
      <c r="I27" s="20"/>
      <c r="J27" s="20"/>
      <c r="K27" s="21"/>
    </row>
    <row r="28">
      <c r="A28" s="19"/>
      <c r="B28" s="30" t="s">
        <v>15</v>
      </c>
      <c r="C28" s="30"/>
      <c r="D28" s="30" t="s">
        <v>15</v>
      </c>
      <c r="E28" s="30" t="s">
        <v>15</v>
      </c>
      <c r="F28" s="30" t="s">
        <v>15</v>
      </c>
      <c r="G28" s="20"/>
      <c r="H28" s="20"/>
      <c r="I28" s="20"/>
      <c r="J28" s="20"/>
      <c r="K28" s="21"/>
    </row>
    <row r="29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8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1"/>
    </row>
    <row r="31">
      <c r="A31" s="22"/>
      <c r="B31" s="23"/>
      <c r="E31" s="40"/>
      <c r="F31" s="40"/>
      <c r="G31" s="40"/>
      <c r="H31" s="40"/>
      <c r="I31" s="40"/>
      <c r="J31" s="40"/>
      <c r="K31" s="46"/>
    </row>
    <row r="32">
      <c r="A32" s="22"/>
      <c r="B32" s="40"/>
      <c r="C32" s="40"/>
      <c r="D32" s="40"/>
      <c r="E32" s="40"/>
      <c r="F32" s="40"/>
      <c r="G32" s="40"/>
      <c r="H32" s="40"/>
      <c r="I32" s="40"/>
      <c r="J32" s="40"/>
      <c r="K32" s="46"/>
    </row>
    <row r="33">
      <c r="A33" s="47"/>
      <c r="B33" s="48" t="s">
        <v>25</v>
      </c>
      <c r="C33" s="49" t="s">
        <v>26</v>
      </c>
      <c r="D33" s="50"/>
      <c r="E33" s="50"/>
      <c r="F33" s="50"/>
      <c r="G33" s="49" t="s">
        <v>15</v>
      </c>
      <c r="H33" s="48" t="s">
        <v>27</v>
      </c>
      <c r="I33" s="50"/>
      <c r="J33" s="48" t="s">
        <v>28</v>
      </c>
      <c r="K33" s="51" t="s">
        <v>29</v>
      </c>
    </row>
    <row r="34">
      <c r="A34" s="19"/>
      <c r="B34" s="20"/>
      <c r="C34" s="52" t="s">
        <v>30</v>
      </c>
      <c r="G34" s="30">
        <v>18.0</v>
      </c>
      <c r="H34" s="53">
        <v>15.0</v>
      </c>
      <c r="J34" s="54">
        <v>270.0</v>
      </c>
      <c r="K34" s="55"/>
    </row>
    <row r="35">
      <c r="A35" s="56"/>
      <c r="B35" s="57" t="s">
        <v>15</v>
      </c>
      <c r="C35" s="52" t="s">
        <v>31</v>
      </c>
      <c r="G35" s="30">
        <v>4.0</v>
      </c>
      <c r="H35" s="53">
        <v>18.0</v>
      </c>
      <c r="J35" s="54">
        <v>72.0</v>
      </c>
      <c r="K35" s="58"/>
    </row>
    <row r="36">
      <c r="A36" s="19"/>
      <c r="B36" s="20"/>
      <c r="C36" s="52" t="s">
        <v>32</v>
      </c>
      <c r="G36" s="57">
        <v>4.0</v>
      </c>
      <c r="H36" s="54">
        <v>13.0</v>
      </c>
      <c r="J36" s="54">
        <v>52.0</v>
      </c>
      <c r="K36" s="58"/>
    </row>
    <row r="37">
      <c r="A37" s="56"/>
      <c r="B37" s="59"/>
      <c r="C37" s="52" t="s">
        <v>33</v>
      </c>
      <c r="G37" s="57">
        <v>2.0</v>
      </c>
      <c r="H37" s="54">
        <v>13.0</v>
      </c>
      <c r="J37" s="54">
        <v>26.0</v>
      </c>
      <c r="K37" s="55"/>
    </row>
    <row r="38">
      <c r="A38" s="56"/>
      <c r="B38" s="59"/>
      <c r="C38" s="52" t="s">
        <v>34</v>
      </c>
      <c r="G38" s="30">
        <v>1.0</v>
      </c>
      <c r="H38" s="53">
        <v>30.0</v>
      </c>
      <c r="J38" s="54">
        <v>30.0</v>
      </c>
      <c r="K38" s="60"/>
    </row>
    <row r="39">
      <c r="A39" s="56"/>
      <c r="B39" s="59"/>
      <c r="C39" s="52"/>
      <c r="G39" s="30"/>
      <c r="H39" s="53"/>
      <c r="J39" s="54"/>
      <c r="K39" s="58"/>
    </row>
    <row r="40">
      <c r="A40" s="19"/>
      <c r="B40" s="20"/>
      <c r="C40" s="52"/>
      <c r="G40" s="57"/>
      <c r="H40" s="54"/>
      <c r="J40" s="54"/>
      <c r="K40" s="55"/>
    </row>
    <row r="41">
      <c r="A41" s="56"/>
      <c r="B41" s="59"/>
      <c r="C41" s="52"/>
      <c r="G41" s="57"/>
      <c r="H41" s="54"/>
      <c r="J41" s="54"/>
      <c r="K41" s="55"/>
    </row>
    <row r="42">
      <c r="A42" s="19"/>
      <c r="B42" s="20"/>
      <c r="C42" s="52"/>
      <c r="G42" s="57"/>
      <c r="H42" s="54"/>
      <c r="J42" s="54"/>
      <c r="K42" s="58"/>
    </row>
    <row r="43">
      <c r="A43" s="56"/>
      <c r="B43" s="59"/>
      <c r="C43" s="52"/>
      <c r="G43" s="30"/>
      <c r="H43" s="53"/>
      <c r="J43" s="54"/>
      <c r="K43" s="55"/>
    </row>
    <row r="44">
      <c r="A44" s="19"/>
      <c r="B44" s="20"/>
      <c r="C44" s="52"/>
      <c r="G44" s="30"/>
      <c r="H44" s="53"/>
      <c r="J44" s="54"/>
      <c r="K44" s="60"/>
    </row>
    <row r="45">
      <c r="A45" s="56"/>
      <c r="B45" s="59"/>
      <c r="C45" s="52"/>
      <c r="G45" s="30"/>
      <c r="H45" s="53"/>
      <c r="J45" s="54"/>
      <c r="K45" s="58"/>
    </row>
    <row r="46">
      <c r="A46" s="19"/>
      <c r="B46" s="30" t="s">
        <v>15</v>
      </c>
      <c r="C46" s="52"/>
      <c r="G46" s="30"/>
      <c r="H46" s="53"/>
      <c r="J46" s="54"/>
      <c r="K46" s="58"/>
    </row>
    <row r="47">
      <c r="A47" s="56"/>
      <c r="B47" s="59"/>
      <c r="C47" s="57"/>
      <c r="G47" s="57"/>
      <c r="H47" s="54"/>
      <c r="J47" s="54"/>
      <c r="K47" s="61"/>
    </row>
    <row r="48">
      <c r="A48" s="62"/>
      <c r="B48" s="63"/>
      <c r="C48" s="57"/>
      <c r="G48" s="57"/>
      <c r="H48" s="54"/>
      <c r="J48" s="54"/>
      <c r="K48" s="61"/>
    </row>
    <row r="49">
      <c r="A49" s="64" t="s">
        <v>35</v>
      </c>
      <c r="B49" s="50"/>
      <c r="C49" s="50"/>
      <c r="D49" s="50"/>
      <c r="E49" s="50"/>
      <c r="F49" s="50"/>
      <c r="G49" s="50"/>
      <c r="H49" s="50"/>
      <c r="I49" s="50"/>
      <c r="J49" s="65">
        <f>SUM(J34:J48)</f>
        <v>450</v>
      </c>
      <c r="K49" s="66"/>
    </row>
    <row r="50">
      <c r="A50" s="67" t="s">
        <v>36</v>
      </c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>
      <c r="A51" s="70"/>
      <c r="B51" s="71"/>
      <c r="C51" s="71"/>
      <c r="D51" s="71"/>
      <c r="E51" s="71"/>
      <c r="F51" s="71"/>
      <c r="G51" s="71"/>
      <c r="H51" s="71"/>
      <c r="I51" s="71"/>
      <c r="J51" s="71"/>
      <c r="K51" s="72"/>
    </row>
    <row r="52">
      <c r="A52" s="73"/>
      <c r="B52" s="68"/>
      <c r="C52" s="68"/>
      <c r="D52" s="68"/>
      <c r="E52" s="68"/>
      <c r="F52" s="68"/>
      <c r="G52" s="68"/>
      <c r="H52" s="68"/>
      <c r="I52" s="68"/>
      <c r="J52" s="68"/>
      <c r="K52" s="69"/>
    </row>
    <row r="53" ht="75.75" customHeight="1">
      <c r="A53" s="74" t="s">
        <v>37</v>
      </c>
      <c r="G53" s="20"/>
      <c r="K53" s="9"/>
    </row>
    <row r="54">
      <c r="A54" s="7"/>
      <c r="K54" s="9"/>
    </row>
    <row r="55">
      <c r="A55" s="7"/>
      <c r="K55" s="9"/>
    </row>
    <row r="56">
      <c r="A56" s="7"/>
      <c r="K56" s="9"/>
    </row>
    <row r="57">
      <c r="A57" s="75" t="s">
        <v>38</v>
      </c>
      <c r="G57" s="76" t="s">
        <v>39</v>
      </c>
      <c r="K57" s="9"/>
    </row>
    <row r="58">
      <c r="A58" s="70"/>
      <c r="B58" s="71"/>
      <c r="C58" s="71"/>
      <c r="D58" s="71"/>
      <c r="E58" s="71"/>
      <c r="F58" s="71"/>
      <c r="G58" s="77"/>
      <c r="H58" s="77"/>
      <c r="I58" s="77"/>
      <c r="J58" s="77"/>
      <c r="K58" s="78"/>
    </row>
    <row r="59">
      <c r="A59" s="27" t="s">
        <v>40</v>
      </c>
      <c r="K59" s="9"/>
    </row>
    <row r="60">
      <c r="A60" s="79" t="s">
        <v>41</v>
      </c>
      <c r="B60" s="50"/>
      <c r="C60" s="50"/>
      <c r="D60" s="50"/>
      <c r="E60" s="50"/>
      <c r="F60" s="50"/>
      <c r="G60" s="50"/>
      <c r="H60" s="80"/>
      <c r="I60" s="81" t="s">
        <v>1</v>
      </c>
      <c r="J60" s="50"/>
      <c r="K60" s="66"/>
    </row>
    <row r="61">
      <c r="A61" s="82" t="s">
        <v>42</v>
      </c>
      <c r="B61" s="68"/>
      <c r="C61" s="68"/>
      <c r="D61" s="83"/>
      <c r="E61" s="84" t="s">
        <v>43</v>
      </c>
      <c r="F61" s="68"/>
      <c r="G61" s="68"/>
      <c r="H61" s="83"/>
      <c r="I61" s="85" t="s">
        <v>44</v>
      </c>
      <c r="J61" s="86">
        <f>J4</f>
        <v>1217</v>
      </c>
      <c r="K61" s="9"/>
    </row>
    <row r="62">
      <c r="A62" s="70"/>
      <c r="B62" s="71"/>
      <c r="C62" s="71"/>
      <c r="D62" s="87"/>
      <c r="E62" s="71"/>
      <c r="F62" s="71"/>
      <c r="G62" s="71"/>
      <c r="H62" s="87"/>
      <c r="I62" s="88"/>
      <c r="J62" s="71"/>
      <c r="K62" s="72"/>
    </row>
    <row r="63">
      <c r="A63" s="89"/>
      <c r="B63" s="90"/>
      <c r="C63" s="90"/>
      <c r="D63" s="90"/>
      <c r="E63" s="90"/>
      <c r="F63" s="90"/>
      <c r="G63" s="90"/>
      <c r="H63" s="90"/>
      <c r="I63" s="90"/>
      <c r="J63" s="90"/>
      <c r="K63" s="91"/>
    </row>
  </sheetData>
  <mergeCells count="64">
    <mergeCell ref="C44:F44"/>
    <mergeCell ref="H44:I44"/>
    <mergeCell ref="C45:F45"/>
    <mergeCell ref="H45:I45"/>
    <mergeCell ref="C46:F46"/>
    <mergeCell ref="H46:I46"/>
    <mergeCell ref="H47:I47"/>
    <mergeCell ref="C47:F47"/>
    <mergeCell ref="C48:F48"/>
    <mergeCell ref="H48:I48"/>
    <mergeCell ref="A49:I49"/>
    <mergeCell ref="J49:K49"/>
    <mergeCell ref="A50:K51"/>
    <mergeCell ref="A52:K52"/>
    <mergeCell ref="A61:D62"/>
    <mergeCell ref="E61:H62"/>
    <mergeCell ref="I61:I62"/>
    <mergeCell ref="J61:K62"/>
    <mergeCell ref="A53:F56"/>
    <mergeCell ref="G53:K56"/>
    <mergeCell ref="A57:F58"/>
    <mergeCell ref="G57:K57"/>
    <mergeCell ref="A59:K59"/>
    <mergeCell ref="A60:H60"/>
    <mergeCell ref="I60:K60"/>
    <mergeCell ref="F1:H3"/>
    <mergeCell ref="I1:K3"/>
    <mergeCell ref="F4:H5"/>
    <mergeCell ref="I4:I5"/>
    <mergeCell ref="J4:K5"/>
    <mergeCell ref="F6:H6"/>
    <mergeCell ref="J6:K6"/>
    <mergeCell ref="A1:E6"/>
    <mergeCell ref="B8:C8"/>
    <mergeCell ref="B10:D10"/>
    <mergeCell ref="B19:C19"/>
    <mergeCell ref="E19:F19"/>
    <mergeCell ref="E21:F21"/>
    <mergeCell ref="B25:G25"/>
    <mergeCell ref="H34:I34"/>
    <mergeCell ref="H35:I35"/>
    <mergeCell ref="C26:G26"/>
    <mergeCell ref="C27:G27"/>
    <mergeCell ref="B31:D31"/>
    <mergeCell ref="C33:F33"/>
    <mergeCell ref="H33:I33"/>
    <mergeCell ref="C34:F34"/>
    <mergeCell ref="C35:F35"/>
    <mergeCell ref="C36:F36"/>
    <mergeCell ref="H36:I36"/>
    <mergeCell ref="C37:F37"/>
    <mergeCell ref="H37:I37"/>
    <mergeCell ref="C38:F38"/>
    <mergeCell ref="H38:I38"/>
    <mergeCell ref="H39:I39"/>
    <mergeCell ref="H42:I42"/>
    <mergeCell ref="H43:I43"/>
    <mergeCell ref="C39:F39"/>
    <mergeCell ref="C40:F40"/>
    <mergeCell ref="H40:I40"/>
    <mergeCell ref="C41:F41"/>
    <mergeCell ref="H41:I41"/>
    <mergeCell ref="C42:F42"/>
    <mergeCell ref="C43:F43"/>
  </mergeCells>
  <conditionalFormatting sqref="B25:G25">
    <cfRule type="notContainsBlanks" dxfId="0" priority="1">
      <formula>LEN(TRIM(B25))&gt;0</formula>
    </cfRule>
  </conditionalFormatting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8.13"/>
    <col customWidth="1" min="3" max="3" width="12.88"/>
    <col customWidth="1" min="4" max="4" width="16.25"/>
    <col customWidth="1" min="5" max="5" width="14.5"/>
    <col customWidth="1" min="6" max="6" width="33.0"/>
    <col customWidth="1" min="7" max="7" width="30.5"/>
    <col customWidth="1" min="8" max="8" width="10.88"/>
    <col customWidth="1" min="9" max="9" width="16.63"/>
    <col customWidth="1" min="10" max="10" width="18.75"/>
    <col customWidth="1" min="11" max="11" width="17.38"/>
    <col customWidth="1" min="12" max="12" width="10.38"/>
  </cols>
  <sheetData>
    <row r="1">
      <c r="A1" s="92" t="s">
        <v>45</v>
      </c>
      <c r="B1" s="93" t="s">
        <v>46</v>
      </c>
      <c r="C1" s="94" t="s">
        <v>10</v>
      </c>
      <c r="D1" s="95" t="s">
        <v>47</v>
      </c>
      <c r="E1" s="96" t="s">
        <v>48</v>
      </c>
      <c r="F1" s="93" t="s">
        <v>49</v>
      </c>
      <c r="G1" s="93" t="s">
        <v>50</v>
      </c>
      <c r="H1" s="93" t="s">
        <v>51</v>
      </c>
      <c r="I1" s="93" t="s">
        <v>52</v>
      </c>
      <c r="J1" s="93" t="s">
        <v>53</v>
      </c>
      <c r="K1" s="93" t="s">
        <v>54</v>
      </c>
      <c r="L1" s="93" t="s">
        <v>55</v>
      </c>
    </row>
    <row r="2">
      <c r="A2" s="92">
        <v>1.0</v>
      </c>
      <c r="B2" s="1" t="s">
        <v>56</v>
      </c>
      <c r="C2" s="97" t="s">
        <v>15</v>
      </c>
      <c r="D2" s="98" t="s">
        <v>57</v>
      </c>
      <c r="E2" s="96">
        <v>3.598875706E10</v>
      </c>
      <c r="G2" s="93" t="s">
        <v>58</v>
      </c>
      <c r="H2" s="93">
        <v>108.0</v>
      </c>
      <c r="I2" s="93"/>
      <c r="J2" s="93" t="s">
        <v>59</v>
      </c>
      <c r="K2" s="42" t="s">
        <v>60</v>
      </c>
      <c r="L2" s="93" t="s">
        <v>61</v>
      </c>
    </row>
    <row r="3">
      <c r="A3" s="92">
        <v>2.0</v>
      </c>
      <c r="B3" s="1" t="s">
        <v>62</v>
      </c>
      <c r="C3" s="97">
        <v>4.5342726E9</v>
      </c>
      <c r="D3" s="98"/>
      <c r="E3" s="96">
        <v>3.5988280044E10</v>
      </c>
      <c r="F3" s="99"/>
      <c r="G3" s="93" t="s">
        <v>63</v>
      </c>
      <c r="H3" s="1">
        <v>248.0</v>
      </c>
      <c r="I3" s="93"/>
      <c r="J3" s="93" t="s">
        <v>64</v>
      </c>
      <c r="K3" s="42" t="s">
        <v>60</v>
      </c>
      <c r="L3" s="93" t="s">
        <v>61</v>
      </c>
    </row>
    <row r="4">
      <c r="A4" s="92">
        <v>3.0</v>
      </c>
      <c r="B4" s="1" t="s">
        <v>65</v>
      </c>
      <c r="C4" s="100"/>
      <c r="D4" s="98">
        <v>1.7878554000199E13</v>
      </c>
      <c r="E4" s="96">
        <v>3.532993134E9</v>
      </c>
      <c r="F4" s="101" t="s">
        <v>66</v>
      </c>
      <c r="G4" s="93" t="s">
        <v>67</v>
      </c>
      <c r="I4" s="93"/>
      <c r="J4" s="93" t="s">
        <v>68</v>
      </c>
      <c r="K4" s="42" t="s">
        <v>60</v>
      </c>
      <c r="L4" s="93" t="s">
        <v>61</v>
      </c>
    </row>
    <row r="5">
      <c r="A5" s="92">
        <v>4.0</v>
      </c>
      <c r="B5" s="102" t="s">
        <v>69</v>
      </c>
      <c r="C5" s="103"/>
      <c r="D5" s="98">
        <v>2.8463674000141E13</v>
      </c>
      <c r="E5" s="104">
        <v>3.5992120042E10</v>
      </c>
      <c r="F5" s="105"/>
      <c r="G5" s="93" t="s">
        <v>70</v>
      </c>
      <c r="H5" s="1">
        <v>165.0</v>
      </c>
      <c r="I5" s="93"/>
      <c r="J5" s="93" t="s">
        <v>71</v>
      </c>
      <c r="K5" s="42" t="s">
        <v>60</v>
      </c>
      <c r="L5" s="93" t="s">
        <v>61</v>
      </c>
    </row>
    <row r="6">
      <c r="A6" s="92">
        <v>5.0</v>
      </c>
      <c r="B6" s="106" t="s">
        <v>72</v>
      </c>
      <c r="C6" s="100"/>
      <c r="D6" s="98">
        <v>2.0308266000103E13</v>
      </c>
      <c r="E6" s="96">
        <v>3.598851808E10</v>
      </c>
      <c r="G6" s="93" t="s">
        <v>73</v>
      </c>
      <c r="H6" s="1">
        <v>126.0</v>
      </c>
      <c r="I6" s="93"/>
      <c r="J6" s="93" t="s">
        <v>59</v>
      </c>
      <c r="K6" s="42" t="s">
        <v>60</v>
      </c>
      <c r="L6" s="93" t="s">
        <v>61</v>
      </c>
    </row>
    <row r="7">
      <c r="A7" s="92">
        <v>6.0</v>
      </c>
      <c r="B7" s="107" t="s">
        <v>74</v>
      </c>
      <c r="C7" s="100"/>
      <c r="D7" s="98">
        <v>3.7955252000184E13</v>
      </c>
      <c r="E7" s="96">
        <v>3.133374523E9</v>
      </c>
      <c r="G7" s="93" t="s">
        <v>75</v>
      </c>
      <c r="H7" s="1">
        <v>1000.0</v>
      </c>
      <c r="I7" s="93" t="s">
        <v>76</v>
      </c>
      <c r="J7" s="93" t="s">
        <v>77</v>
      </c>
      <c r="K7" s="42" t="s">
        <v>78</v>
      </c>
      <c r="L7" s="93" t="s">
        <v>61</v>
      </c>
    </row>
    <row r="8">
      <c r="A8" s="92">
        <v>7.0</v>
      </c>
      <c r="B8" s="1" t="s">
        <v>79</v>
      </c>
      <c r="C8" s="108"/>
      <c r="D8" s="98" t="s">
        <v>80</v>
      </c>
      <c r="E8" s="96" t="s">
        <v>81</v>
      </c>
      <c r="G8" s="93" t="s">
        <v>82</v>
      </c>
      <c r="H8" s="1">
        <v>2600.0</v>
      </c>
      <c r="I8" s="93"/>
      <c r="J8" s="93"/>
      <c r="K8" s="42" t="s">
        <v>60</v>
      </c>
      <c r="L8" s="93" t="s">
        <v>61</v>
      </c>
    </row>
    <row r="9">
      <c r="A9" s="92">
        <v>8.0</v>
      </c>
      <c r="B9" s="1" t="s">
        <v>83</v>
      </c>
      <c r="C9" s="109"/>
      <c r="D9" s="98">
        <v>6.4398159000199E13</v>
      </c>
      <c r="E9" s="96">
        <v>3.2913973E7</v>
      </c>
      <c r="F9" s="1" t="s">
        <v>84</v>
      </c>
      <c r="G9" s="93" t="s">
        <v>85</v>
      </c>
      <c r="H9" s="1">
        <v>500.0</v>
      </c>
      <c r="I9" s="93"/>
      <c r="J9" s="93" t="s">
        <v>86</v>
      </c>
      <c r="K9" s="42" t="s">
        <v>60</v>
      </c>
      <c r="L9" s="93" t="s">
        <v>61</v>
      </c>
    </row>
    <row r="10">
      <c r="A10" s="92">
        <v>9.0</v>
      </c>
      <c r="B10" s="1" t="s">
        <v>87</v>
      </c>
      <c r="C10" s="109"/>
      <c r="D10" s="98">
        <v>4.6171403000102E13</v>
      </c>
      <c r="E10" s="96"/>
      <c r="F10" s="1" t="s">
        <v>15</v>
      </c>
      <c r="G10" s="1" t="s">
        <v>88</v>
      </c>
      <c r="H10" s="1">
        <v>1216.0</v>
      </c>
      <c r="I10" s="93"/>
      <c r="J10" s="93" t="s">
        <v>89</v>
      </c>
      <c r="K10" s="42" t="s">
        <v>60</v>
      </c>
      <c r="L10" s="93" t="s">
        <v>61</v>
      </c>
    </row>
    <row r="11">
      <c r="A11" s="92">
        <v>10.0</v>
      </c>
      <c r="B11" s="1" t="s">
        <v>90</v>
      </c>
      <c r="C11" s="97">
        <v>7.9997171691E10</v>
      </c>
      <c r="D11" s="110"/>
      <c r="E11" s="96"/>
      <c r="G11" s="93" t="s">
        <v>91</v>
      </c>
      <c r="H11" s="1" t="s">
        <v>92</v>
      </c>
      <c r="I11" s="93"/>
      <c r="J11" s="93" t="s">
        <v>86</v>
      </c>
      <c r="K11" s="42" t="s">
        <v>60</v>
      </c>
      <c r="L11" s="93" t="s">
        <v>61</v>
      </c>
    </row>
    <row r="12">
      <c r="A12" s="92">
        <v>11.0</v>
      </c>
      <c r="B12" s="1" t="s">
        <v>93</v>
      </c>
      <c r="C12" s="97"/>
      <c r="D12" s="98">
        <v>3.49193090001E13</v>
      </c>
      <c r="E12" s="96">
        <v>3.7999479528E10</v>
      </c>
      <c r="F12" s="99"/>
      <c r="G12" s="93" t="s">
        <v>94</v>
      </c>
      <c r="H12" s="1">
        <v>5455.0</v>
      </c>
      <c r="I12" s="93"/>
      <c r="J12" s="93" t="s">
        <v>95</v>
      </c>
      <c r="K12" s="42" t="s">
        <v>96</v>
      </c>
      <c r="L12" s="93" t="s">
        <v>61</v>
      </c>
    </row>
    <row r="13">
      <c r="A13" s="92">
        <v>12.0</v>
      </c>
      <c r="B13" s="1" t="s">
        <v>97</v>
      </c>
      <c r="C13" s="109"/>
      <c r="D13" s="98">
        <v>6.6315060000101E13</v>
      </c>
      <c r="E13" s="96"/>
      <c r="G13" s="93"/>
      <c r="I13" s="93"/>
      <c r="J13" s="93"/>
      <c r="K13" s="42"/>
      <c r="L13" s="93"/>
    </row>
    <row r="14">
      <c r="A14" s="92">
        <v>13.0</v>
      </c>
      <c r="B14" s="1" t="s">
        <v>98</v>
      </c>
      <c r="C14" s="97"/>
      <c r="D14" s="98">
        <v>6.311489000875E12</v>
      </c>
      <c r="E14" s="96">
        <v>3.5984354779E10</v>
      </c>
      <c r="G14" s="93" t="s">
        <v>99</v>
      </c>
      <c r="H14" s="1">
        <v>351.0</v>
      </c>
      <c r="I14" s="93"/>
      <c r="J14" s="93" t="s">
        <v>100</v>
      </c>
      <c r="K14" s="42" t="s">
        <v>60</v>
      </c>
      <c r="L14" s="93" t="s">
        <v>61</v>
      </c>
    </row>
    <row r="15">
      <c r="A15" s="92">
        <v>14.0</v>
      </c>
      <c r="B15" s="1" t="s">
        <v>101</v>
      </c>
      <c r="C15" s="97">
        <v>1.1913856631E10</v>
      </c>
      <c r="D15" s="98"/>
      <c r="E15" s="96">
        <v>3.5999586175E10</v>
      </c>
      <c r="G15" s="93" t="s">
        <v>102</v>
      </c>
      <c r="H15" s="1">
        <v>378.0</v>
      </c>
      <c r="I15" s="93"/>
      <c r="J15" s="93" t="s">
        <v>103</v>
      </c>
      <c r="K15" s="42" t="s">
        <v>60</v>
      </c>
      <c r="L15" s="93" t="s">
        <v>61</v>
      </c>
    </row>
    <row r="16">
      <c r="A16" s="92">
        <v>15.0</v>
      </c>
      <c r="B16" s="1" t="s">
        <v>104</v>
      </c>
      <c r="C16" s="97">
        <v>3.5241888691E10</v>
      </c>
      <c r="D16" s="110"/>
      <c r="E16" s="96"/>
      <c r="G16" s="93" t="s">
        <v>105</v>
      </c>
      <c r="I16" s="93"/>
      <c r="J16" s="93" t="s">
        <v>15</v>
      </c>
      <c r="K16" s="42" t="s">
        <v>60</v>
      </c>
      <c r="L16" s="93" t="s">
        <v>61</v>
      </c>
    </row>
    <row r="17">
      <c r="A17" s="92">
        <v>16.0</v>
      </c>
      <c r="B17" s="1" t="s">
        <v>106</v>
      </c>
      <c r="C17" s="109"/>
      <c r="D17" s="98">
        <v>8.36942000457E11</v>
      </c>
      <c r="E17" s="96">
        <v>3.5329917E9</v>
      </c>
      <c r="G17" s="93" t="s">
        <v>107</v>
      </c>
      <c r="H17" s="1">
        <v>17.0</v>
      </c>
      <c r="I17" s="111"/>
      <c r="J17" s="93" t="s">
        <v>108</v>
      </c>
      <c r="K17" s="42" t="s">
        <v>60</v>
      </c>
      <c r="L17" s="93" t="s">
        <v>61</v>
      </c>
    </row>
    <row r="18">
      <c r="A18" s="92">
        <v>17.0</v>
      </c>
      <c r="B18" s="1" t="s">
        <v>109</v>
      </c>
      <c r="C18" s="97" t="s">
        <v>110</v>
      </c>
      <c r="D18" s="110"/>
      <c r="E18" s="112"/>
      <c r="G18" s="93" t="s">
        <v>111</v>
      </c>
      <c r="H18" s="1">
        <v>510.0</v>
      </c>
      <c r="I18" s="111"/>
      <c r="J18" s="111"/>
      <c r="K18" s="42" t="s">
        <v>60</v>
      </c>
      <c r="L18" s="93" t="s">
        <v>61</v>
      </c>
    </row>
    <row r="19">
      <c r="A19" s="92">
        <v>18.0</v>
      </c>
      <c r="B19" s="1" t="s">
        <v>112</v>
      </c>
      <c r="C19" s="97" t="s">
        <v>113</v>
      </c>
      <c r="D19" s="110"/>
      <c r="E19" s="112"/>
      <c r="F19" s="113" t="s">
        <v>114</v>
      </c>
      <c r="G19" s="93" t="s">
        <v>115</v>
      </c>
      <c r="H19" s="1">
        <v>2999.0</v>
      </c>
      <c r="I19" s="111"/>
      <c r="J19" s="93" t="s">
        <v>116</v>
      </c>
      <c r="K19" s="42" t="s">
        <v>60</v>
      </c>
      <c r="L19" s="93" t="s">
        <v>61</v>
      </c>
    </row>
    <row r="20">
      <c r="A20" s="92">
        <v>19.0</v>
      </c>
      <c r="B20" s="1" t="s">
        <v>117</v>
      </c>
      <c r="C20" s="109"/>
      <c r="D20" s="98" t="s">
        <v>118</v>
      </c>
      <c r="E20" s="112"/>
      <c r="G20" s="93" t="s">
        <v>119</v>
      </c>
      <c r="H20" s="1">
        <v>120.0</v>
      </c>
      <c r="I20" s="111"/>
      <c r="J20" s="93" t="s">
        <v>120</v>
      </c>
      <c r="K20" s="42" t="s">
        <v>121</v>
      </c>
      <c r="L20" s="93" t="s">
        <v>61</v>
      </c>
    </row>
    <row r="21">
      <c r="A21" s="92">
        <v>20.0</v>
      </c>
      <c r="B21" s="1" t="s">
        <v>122</v>
      </c>
      <c r="C21" s="109"/>
      <c r="D21" s="98" t="s">
        <v>123</v>
      </c>
      <c r="E21" s="112"/>
      <c r="F21" s="1" t="s">
        <v>124</v>
      </c>
      <c r="G21" s="93" t="s">
        <v>125</v>
      </c>
      <c r="H21" s="1">
        <v>369.0</v>
      </c>
      <c r="I21" s="111"/>
      <c r="J21" s="93" t="s">
        <v>126</v>
      </c>
      <c r="K21" s="42" t="s">
        <v>60</v>
      </c>
      <c r="L21" s="93" t="s">
        <v>61</v>
      </c>
    </row>
    <row r="22">
      <c r="A22" s="92">
        <v>21.0</v>
      </c>
      <c r="B22" s="1" t="s">
        <v>127</v>
      </c>
      <c r="C22" s="97" t="s">
        <v>128</v>
      </c>
      <c r="D22" s="110"/>
      <c r="E22" s="96" t="s">
        <v>129</v>
      </c>
      <c r="G22" s="93" t="s">
        <v>130</v>
      </c>
      <c r="H22" s="1">
        <v>2406.0</v>
      </c>
      <c r="I22" s="111"/>
      <c r="J22" s="93" t="s">
        <v>131</v>
      </c>
      <c r="K22" s="42" t="s">
        <v>132</v>
      </c>
      <c r="L22" s="93" t="s">
        <v>61</v>
      </c>
    </row>
    <row r="23">
      <c r="A23" s="92">
        <v>22.0</v>
      </c>
      <c r="B23" s="1" t="s">
        <v>133</v>
      </c>
      <c r="C23" s="97" t="s">
        <v>134</v>
      </c>
      <c r="D23" s="110"/>
      <c r="E23" s="96" t="s">
        <v>135</v>
      </c>
      <c r="G23" s="93" t="s">
        <v>136</v>
      </c>
      <c r="H23" s="1">
        <v>122.0</v>
      </c>
      <c r="I23" s="111"/>
      <c r="J23" s="93" t="s">
        <v>137</v>
      </c>
      <c r="K23" s="42" t="s">
        <v>132</v>
      </c>
      <c r="L23" s="93" t="s">
        <v>61</v>
      </c>
    </row>
    <row r="24">
      <c r="A24" s="92">
        <v>23.0</v>
      </c>
      <c r="B24" s="1" t="s">
        <v>138</v>
      </c>
      <c r="C24" s="109"/>
      <c r="D24" s="98" t="s">
        <v>139</v>
      </c>
      <c r="E24" s="96" t="s">
        <v>140</v>
      </c>
      <c r="F24" s="1" t="s">
        <v>141</v>
      </c>
      <c r="G24" s="93" t="s">
        <v>142</v>
      </c>
      <c r="H24" s="1">
        <v>900.0</v>
      </c>
      <c r="I24" s="93" t="s">
        <v>143</v>
      </c>
      <c r="J24" s="93" t="s">
        <v>144</v>
      </c>
      <c r="K24" s="42" t="s">
        <v>145</v>
      </c>
      <c r="L24" s="93" t="s">
        <v>61</v>
      </c>
    </row>
    <row r="25">
      <c r="A25" s="92">
        <v>24.0</v>
      </c>
      <c r="B25" s="1" t="s">
        <v>146</v>
      </c>
      <c r="C25" s="109"/>
      <c r="D25" s="98" t="s">
        <v>147</v>
      </c>
      <c r="E25" s="112"/>
      <c r="F25" s="1" t="s">
        <v>148</v>
      </c>
      <c r="G25" s="93" t="s">
        <v>149</v>
      </c>
      <c r="I25" s="93" t="s">
        <v>15</v>
      </c>
      <c r="J25" s="93" t="s">
        <v>150</v>
      </c>
      <c r="K25" s="42" t="s">
        <v>151</v>
      </c>
      <c r="L25" s="93" t="s">
        <v>152</v>
      </c>
    </row>
    <row r="26">
      <c r="A26" s="92">
        <v>25.0</v>
      </c>
      <c r="B26" s="1" t="s">
        <v>153</v>
      </c>
      <c r="C26" s="109"/>
      <c r="D26" s="98" t="s">
        <v>154</v>
      </c>
      <c r="E26" s="96" t="s">
        <v>155</v>
      </c>
      <c r="F26" s="1" t="s">
        <v>156</v>
      </c>
      <c r="G26" s="93" t="s">
        <v>157</v>
      </c>
      <c r="I26" s="111"/>
      <c r="J26" s="93" t="s">
        <v>15</v>
      </c>
      <c r="K26" s="42" t="s">
        <v>158</v>
      </c>
      <c r="L26" s="93" t="s">
        <v>61</v>
      </c>
    </row>
    <row r="27">
      <c r="A27" s="92">
        <v>26.0</v>
      </c>
      <c r="B27" s="1" t="s">
        <v>159</v>
      </c>
      <c r="C27" s="97">
        <v>1.8852296824E10</v>
      </c>
      <c r="D27" s="110"/>
      <c r="E27" s="96" t="s">
        <v>160</v>
      </c>
      <c r="F27" s="1" t="s">
        <v>161</v>
      </c>
      <c r="G27" s="93" t="s">
        <v>162</v>
      </c>
      <c r="H27" s="1">
        <v>90.0</v>
      </c>
      <c r="I27" s="111"/>
      <c r="J27" s="93" t="s">
        <v>163</v>
      </c>
      <c r="K27" s="42" t="s">
        <v>164</v>
      </c>
      <c r="L27" s="93" t="s">
        <v>165</v>
      </c>
    </row>
    <row r="28">
      <c r="A28" s="92">
        <v>27.0</v>
      </c>
      <c r="B28" s="1" t="s">
        <v>166</v>
      </c>
      <c r="C28" s="97" t="s">
        <v>167</v>
      </c>
      <c r="D28" s="110"/>
      <c r="E28" s="112"/>
      <c r="G28" s="93" t="s">
        <v>168</v>
      </c>
      <c r="H28" s="1">
        <v>706.0</v>
      </c>
      <c r="I28" s="111"/>
      <c r="J28" s="93" t="s">
        <v>169</v>
      </c>
      <c r="K28" s="42" t="s">
        <v>60</v>
      </c>
      <c r="L28" s="93" t="s">
        <v>61</v>
      </c>
    </row>
    <row r="29">
      <c r="A29" s="92">
        <v>28.0</v>
      </c>
      <c r="B29" s="1" t="s">
        <v>170</v>
      </c>
      <c r="C29" s="109"/>
      <c r="D29" s="98" t="s">
        <v>171</v>
      </c>
      <c r="E29" s="96" t="s">
        <v>172</v>
      </c>
      <c r="F29" s="1" t="s">
        <v>173</v>
      </c>
      <c r="G29" s="93" t="s">
        <v>174</v>
      </c>
      <c r="H29" s="1">
        <v>33.0</v>
      </c>
      <c r="I29" s="111"/>
      <c r="J29" s="93" t="s">
        <v>175</v>
      </c>
      <c r="K29" s="42" t="s">
        <v>176</v>
      </c>
      <c r="L29" s="93" t="s">
        <v>61</v>
      </c>
    </row>
    <row r="30">
      <c r="A30" s="92">
        <v>29.0</v>
      </c>
      <c r="B30" s="1" t="s">
        <v>177</v>
      </c>
      <c r="C30" s="109"/>
      <c r="D30" s="110"/>
      <c r="E30" s="112"/>
      <c r="G30" s="93" t="s">
        <v>178</v>
      </c>
      <c r="H30" s="1">
        <v>94.0</v>
      </c>
      <c r="I30" s="111"/>
      <c r="J30" s="93" t="s">
        <v>179</v>
      </c>
      <c r="K30" s="42" t="s">
        <v>60</v>
      </c>
      <c r="L30" s="93" t="s">
        <v>61</v>
      </c>
    </row>
    <row r="31">
      <c r="A31" s="92">
        <v>30.0</v>
      </c>
      <c r="B31" s="1" t="s">
        <v>180</v>
      </c>
      <c r="C31" s="109"/>
      <c r="D31" s="98" t="s">
        <v>181</v>
      </c>
      <c r="E31" s="112"/>
      <c r="G31" s="93" t="s">
        <v>182</v>
      </c>
      <c r="H31" s="1">
        <v>2657.0</v>
      </c>
      <c r="I31" s="111"/>
      <c r="J31" s="93" t="s">
        <v>116</v>
      </c>
      <c r="K31" s="42" t="s">
        <v>60</v>
      </c>
      <c r="L31" s="93" t="s">
        <v>61</v>
      </c>
    </row>
    <row r="32">
      <c r="A32" s="92">
        <v>31.0</v>
      </c>
      <c r="B32" s="1" t="s">
        <v>183</v>
      </c>
      <c r="C32" s="109"/>
      <c r="D32" s="98" t="s">
        <v>184</v>
      </c>
      <c r="E32" s="112"/>
      <c r="G32" s="93" t="s">
        <v>185</v>
      </c>
      <c r="H32" s="1">
        <v>210.0</v>
      </c>
      <c r="I32" s="111"/>
      <c r="J32" s="93" t="s">
        <v>186</v>
      </c>
      <c r="K32" s="42" t="s">
        <v>187</v>
      </c>
      <c r="L32" s="93" t="s">
        <v>61</v>
      </c>
    </row>
    <row r="33">
      <c r="A33" s="92">
        <v>32.0</v>
      </c>
      <c r="B33" s="1" t="s">
        <v>188</v>
      </c>
      <c r="C33" s="109"/>
      <c r="D33" s="98" t="s">
        <v>189</v>
      </c>
      <c r="E33" s="112"/>
      <c r="G33" s="93" t="s">
        <v>190</v>
      </c>
      <c r="H33" s="1">
        <v>621.0</v>
      </c>
      <c r="I33" s="111"/>
      <c r="J33" s="93" t="s">
        <v>191</v>
      </c>
      <c r="K33" s="42" t="s">
        <v>60</v>
      </c>
      <c r="L33" s="93" t="s">
        <v>61</v>
      </c>
    </row>
    <row r="34">
      <c r="A34" s="92">
        <v>33.0</v>
      </c>
      <c r="B34" s="1" t="s">
        <v>192</v>
      </c>
      <c r="C34" s="109"/>
      <c r="D34" s="98" t="s">
        <v>193</v>
      </c>
      <c r="E34" s="112"/>
      <c r="G34" s="93" t="s">
        <v>88</v>
      </c>
      <c r="H34" s="1">
        <v>52.0</v>
      </c>
      <c r="I34" s="111"/>
      <c r="J34" s="93" t="s">
        <v>59</v>
      </c>
      <c r="K34" s="42" t="s">
        <v>60</v>
      </c>
      <c r="L34" s="93" t="s">
        <v>61</v>
      </c>
    </row>
    <row r="35">
      <c r="A35" s="92">
        <v>34.0</v>
      </c>
      <c r="B35" s="1" t="s">
        <v>194</v>
      </c>
      <c r="C35" s="109"/>
      <c r="D35" s="98" t="s">
        <v>195</v>
      </c>
      <c r="E35" s="112"/>
      <c r="G35" s="1" t="s">
        <v>196</v>
      </c>
      <c r="H35" s="1">
        <v>140.0</v>
      </c>
      <c r="I35" s="93" t="s">
        <v>197</v>
      </c>
      <c r="J35" s="93" t="s">
        <v>198</v>
      </c>
      <c r="K35" s="42" t="s">
        <v>199</v>
      </c>
      <c r="L35" s="93" t="s">
        <v>165</v>
      </c>
    </row>
    <row r="36">
      <c r="A36" s="92">
        <v>35.0</v>
      </c>
      <c r="B36" s="1" t="s">
        <v>200</v>
      </c>
      <c r="C36" s="109"/>
      <c r="D36" s="98" t="s">
        <v>201</v>
      </c>
      <c r="E36" s="112"/>
      <c r="G36" s="93" t="s">
        <v>202</v>
      </c>
      <c r="H36" s="1">
        <v>2670.0</v>
      </c>
      <c r="I36" s="111"/>
      <c r="J36" s="93" t="s">
        <v>203</v>
      </c>
      <c r="K36" s="42" t="s">
        <v>60</v>
      </c>
      <c r="L36" s="93" t="s">
        <v>61</v>
      </c>
    </row>
    <row r="37">
      <c r="A37" s="92">
        <v>36.0</v>
      </c>
      <c r="B37" s="1" t="s">
        <v>204</v>
      </c>
      <c r="C37" s="109"/>
      <c r="D37" s="110"/>
      <c r="E37" s="112"/>
      <c r="G37" s="111"/>
      <c r="I37" s="111"/>
      <c r="J37" s="111"/>
      <c r="K37" s="114"/>
      <c r="L37" s="111"/>
    </row>
    <row r="38">
      <c r="A38" s="92">
        <v>37.0</v>
      </c>
      <c r="B38" s="1" t="s">
        <v>205</v>
      </c>
      <c r="C38" s="97" t="s">
        <v>206</v>
      </c>
      <c r="D38" s="110"/>
      <c r="E38" s="112"/>
      <c r="G38" s="93" t="s">
        <v>207</v>
      </c>
      <c r="H38" s="1">
        <v>138.0</v>
      </c>
      <c r="I38" s="111"/>
      <c r="J38" s="111"/>
      <c r="K38" s="42" t="s">
        <v>60</v>
      </c>
      <c r="L38" s="93" t="s">
        <v>61</v>
      </c>
    </row>
    <row r="39">
      <c r="A39" s="92">
        <v>38.0</v>
      </c>
      <c r="B39" s="1" t="s">
        <v>65</v>
      </c>
      <c r="C39" s="109"/>
      <c r="D39" s="98" t="s">
        <v>208</v>
      </c>
      <c r="E39" s="112"/>
      <c r="G39" s="93" t="s">
        <v>209</v>
      </c>
      <c r="I39" s="111"/>
      <c r="J39" s="111"/>
      <c r="K39" s="42" t="s">
        <v>60</v>
      </c>
      <c r="L39" s="93" t="s">
        <v>61</v>
      </c>
    </row>
    <row r="40">
      <c r="A40" s="92">
        <v>39.0</v>
      </c>
      <c r="B40" s="1" t="s">
        <v>65</v>
      </c>
      <c r="C40" s="109"/>
      <c r="D40" s="98" t="s">
        <v>210</v>
      </c>
      <c r="E40" s="112"/>
      <c r="G40" s="93" t="s">
        <v>209</v>
      </c>
      <c r="I40" s="111"/>
      <c r="J40" s="111"/>
      <c r="K40" s="42" t="s">
        <v>60</v>
      </c>
      <c r="L40" s="93" t="s">
        <v>61</v>
      </c>
    </row>
    <row r="41">
      <c r="A41" s="92">
        <v>40.0</v>
      </c>
      <c r="B41" s="1" t="s">
        <v>211</v>
      </c>
      <c r="C41" s="97" t="s">
        <v>212</v>
      </c>
      <c r="D41" s="110"/>
      <c r="E41" s="112"/>
      <c r="G41" s="93" t="s">
        <v>213</v>
      </c>
      <c r="H41" s="1">
        <v>306.0</v>
      </c>
      <c r="I41" s="111"/>
      <c r="J41" s="93" t="s">
        <v>214</v>
      </c>
      <c r="K41" s="42" t="s">
        <v>60</v>
      </c>
      <c r="L41" s="93" t="s">
        <v>61</v>
      </c>
    </row>
    <row r="42">
      <c r="A42" s="92">
        <v>41.0</v>
      </c>
      <c r="B42" s="1" t="s">
        <v>215</v>
      </c>
      <c r="C42" s="97" t="s">
        <v>15</v>
      </c>
      <c r="D42" s="98" t="s">
        <v>216</v>
      </c>
      <c r="E42" s="112"/>
      <c r="F42" s="1" t="s">
        <v>217</v>
      </c>
      <c r="G42" s="93" t="s">
        <v>218</v>
      </c>
      <c r="H42" s="1">
        <v>126.0</v>
      </c>
      <c r="I42" s="111"/>
      <c r="J42" s="93" t="s">
        <v>59</v>
      </c>
      <c r="K42" s="42" t="s">
        <v>60</v>
      </c>
      <c r="L42" s="93" t="s">
        <v>61</v>
      </c>
    </row>
    <row r="43">
      <c r="A43" s="92">
        <v>42.0</v>
      </c>
      <c r="B43" s="1" t="s">
        <v>219</v>
      </c>
      <c r="C43" s="109"/>
      <c r="D43" s="98" t="s">
        <v>220</v>
      </c>
      <c r="E43" s="96" t="s">
        <v>221</v>
      </c>
      <c r="G43" s="93" t="s">
        <v>222</v>
      </c>
      <c r="H43" s="1">
        <v>257.0</v>
      </c>
      <c r="I43" s="111"/>
      <c r="J43" s="93" t="s">
        <v>191</v>
      </c>
      <c r="K43" s="42" t="s">
        <v>60</v>
      </c>
      <c r="L43" s="93" t="s">
        <v>61</v>
      </c>
    </row>
    <row r="44">
      <c r="A44" s="92">
        <v>43.0</v>
      </c>
      <c r="B44" s="1" t="s">
        <v>223</v>
      </c>
      <c r="C44" s="109"/>
      <c r="D44" s="98">
        <v>1.2313924000127E13</v>
      </c>
      <c r="E44" s="112"/>
      <c r="F44" s="1" t="s">
        <v>224</v>
      </c>
      <c r="G44" s="93" t="s">
        <v>225</v>
      </c>
      <c r="H44" s="1">
        <v>585.0</v>
      </c>
      <c r="I44" s="111"/>
      <c r="J44" s="93" t="s">
        <v>226</v>
      </c>
      <c r="K44" s="42" t="s">
        <v>60</v>
      </c>
      <c r="L44" s="93" t="s">
        <v>61</v>
      </c>
    </row>
    <row r="45">
      <c r="A45" s="92">
        <v>44.0</v>
      </c>
      <c r="B45" s="1" t="s">
        <v>227</v>
      </c>
      <c r="C45" s="109"/>
      <c r="D45" s="98" t="s">
        <v>228</v>
      </c>
      <c r="E45" s="96" t="s">
        <v>229</v>
      </c>
      <c r="F45" s="1" t="s">
        <v>230</v>
      </c>
      <c r="G45" s="93" t="s">
        <v>231</v>
      </c>
      <c r="H45" s="1">
        <v>13.0</v>
      </c>
      <c r="I45" s="111"/>
      <c r="J45" s="93" t="s">
        <v>232</v>
      </c>
      <c r="K45" s="42" t="s">
        <v>233</v>
      </c>
      <c r="L45" s="93" t="s">
        <v>165</v>
      </c>
    </row>
    <row r="46">
      <c r="A46" s="92">
        <v>45.0</v>
      </c>
      <c r="B46" s="1" t="s">
        <v>234</v>
      </c>
      <c r="C46" s="109"/>
      <c r="D46" s="98" t="s">
        <v>235</v>
      </c>
      <c r="E46" s="96" t="s">
        <v>236</v>
      </c>
      <c r="F46" s="1" t="s">
        <v>237</v>
      </c>
      <c r="G46" s="93" t="s">
        <v>238</v>
      </c>
      <c r="H46" s="1">
        <v>113.0</v>
      </c>
      <c r="I46" s="111"/>
      <c r="J46" s="93" t="s">
        <v>59</v>
      </c>
      <c r="K46" s="42" t="s">
        <v>60</v>
      </c>
      <c r="L46" s="93" t="s">
        <v>61</v>
      </c>
    </row>
    <row r="47">
      <c r="A47" s="92">
        <v>46.0</v>
      </c>
      <c r="B47" s="1" t="s">
        <v>239</v>
      </c>
      <c r="C47" s="109"/>
      <c r="D47" s="98" t="s">
        <v>240</v>
      </c>
      <c r="E47" s="112"/>
      <c r="F47" s="1" t="s">
        <v>241</v>
      </c>
      <c r="G47" s="93" t="s">
        <v>242</v>
      </c>
      <c r="H47" s="1">
        <v>1212.0</v>
      </c>
      <c r="I47" s="111"/>
      <c r="J47" s="93" t="s">
        <v>68</v>
      </c>
      <c r="K47" s="42" t="s">
        <v>60</v>
      </c>
      <c r="L47" s="93" t="s">
        <v>61</v>
      </c>
    </row>
    <row r="48">
      <c r="A48" s="92">
        <v>47.0</v>
      </c>
      <c r="B48" s="1" t="s">
        <v>243</v>
      </c>
      <c r="C48" s="97" t="s">
        <v>244</v>
      </c>
      <c r="D48" s="110"/>
      <c r="E48" s="112"/>
      <c r="G48" s="93" t="s">
        <v>245</v>
      </c>
      <c r="H48" s="1">
        <v>207.0</v>
      </c>
      <c r="I48" s="111"/>
      <c r="J48" s="93" t="s">
        <v>246</v>
      </c>
      <c r="K48" s="42" t="s">
        <v>60</v>
      </c>
      <c r="L48" s="93" t="s">
        <v>61</v>
      </c>
    </row>
    <row r="49">
      <c r="A49" s="92">
        <v>48.0</v>
      </c>
      <c r="B49" s="1" t="s">
        <v>247</v>
      </c>
      <c r="C49" s="109"/>
      <c r="D49" s="98" t="s">
        <v>248</v>
      </c>
      <c r="E49" s="112"/>
      <c r="F49" s="1" t="s">
        <v>249</v>
      </c>
      <c r="G49" s="93" t="s">
        <v>222</v>
      </c>
      <c r="H49" s="1">
        <v>2160.0</v>
      </c>
      <c r="I49" s="111"/>
      <c r="J49" s="93" t="s">
        <v>250</v>
      </c>
      <c r="K49" s="42" t="s">
        <v>60</v>
      </c>
      <c r="L49" s="93" t="s">
        <v>61</v>
      </c>
    </row>
    <row r="50">
      <c r="A50" s="92">
        <v>49.0</v>
      </c>
      <c r="B50" s="1" t="s">
        <v>251</v>
      </c>
      <c r="C50" s="109"/>
      <c r="D50" s="98" t="s">
        <v>252</v>
      </c>
      <c r="E50" s="112"/>
      <c r="G50" s="93" t="s">
        <v>253</v>
      </c>
      <c r="H50" s="1">
        <v>104.0</v>
      </c>
      <c r="I50" s="111"/>
      <c r="J50" s="93" t="s">
        <v>59</v>
      </c>
      <c r="K50" s="42" t="s">
        <v>60</v>
      </c>
      <c r="L50" s="93" t="s">
        <v>61</v>
      </c>
    </row>
    <row r="51">
      <c r="A51" s="92">
        <v>50.0</v>
      </c>
      <c r="B51" s="1" t="s">
        <v>254</v>
      </c>
      <c r="C51" s="109"/>
      <c r="D51" s="98" t="s">
        <v>255</v>
      </c>
      <c r="E51" s="96" t="s">
        <v>256</v>
      </c>
      <c r="F51" s="1" t="s">
        <v>257</v>
      </c>
      <c r="G51" s="93" t="s">
        <v>258</v>
      </c>
      <c r="H51" s="1">
        <v>90.0</v>
      </c>
      <c r="I51" s="111"/>
      <c r="J51" s="111"/>
      <c r="K51" s="42" t="s">
        <v>259</v>
      </c>
      <c r="L51" s="93" t="s">
        <v>61</v>
      </c>
    </row>
    <row r="52">
      <c r="A52" s="92">
        <v>51.0</v>
      </c>
      <c r="B52" s="1" t="s">
        <v>260</v>
      </c>
      <c r="C52" s="109"/>
      <c r="D52" s="98" t="s">
        <v>261</v>
      </c>
      <c r="E52" s="96" t="s">
        <v>262</v>
      </c>
      <c r="G52" s="93" t="s">
        <v>263</v>
      </c>
      <c r="H52" s="1" t="s">
        <v>264</v>
      </c>
      <c r="I52" s="111"/>
      <c r="J52" s="111"/>
      <c r="K52" s="42" t="s">
        <v>265</v>
      </c>
      <c r="L52" s="93" t="s">
        <v>61</v>
      </c>
    </row>
    <row r="53">
      <c r="A53" s="92">
        <v>52.0</v>
      </c>
      <c r="B53" s="1" t="s">
        <v>266</v>
      </c>
      <c r="C53" s="97" t="s">
        <v>267</v>
      </c>
      <c r="D53" s="110"/>
      <c r="E53" s="112"/>
      <c r="G53" s="93" t="s">
        <v>268</v>
      </c>
      <c r="I53" s="111"/>
      <c r="J53" s="93" t="s">
        <v>15</v>
      </c>
      <c r="K53" s="42" t="s">
        <v>269</v>
      </c>
      <c r="L53" s="93" t="s">
        <v>61</v>
      </c>
    </row>
    <row r="54">
      <c r="A54" s="92">
        <v>53.0</v>
      </c>
      <c r="B54" s="1" t="s">
        <v>270</v>
      </c>
      <c r="C54" s="109"/>
      <c r="D54" s="98" t="s">
        <v>271</v>
      </c>
      <c r="E54" s="112"/>
      <c r="F54" s="1" t="s">
        <v>272</v>
      </c>
      <c r="G54" s="93" t="s">
        <v>273</v>
      </c>
      <c r="H54" s="1">
        <v>520.0</v>
      </c>
      <c r="I54" s="111"/>
      <c r="J54" s="93" t="s">
        <v>59</v>
      </c>
      <c r="K54" s="42" t="s">
        <v>60</v>
      </c>
      <c r="L54" s="93" t="s">
        <v>61</v>
      </c>
    </row>
    <row r="55">
      <c r="A55" s="92">
        <v>54.0</v>
      </c>
      <c r="B55" s="1" t="s">
        <v>274</v>
      </c>
      <c r="C55" s="97" t="s">
        <v>275</v>
      </c>
      <c r="D55" s="110"/>
      <c r="E55" s="112"/>
      <c r="G55" s="93" t="s">
        <v>276</v>
      </c>
      <c r="H55" s="1">
        <v>220.0</v>
      </c>
      <c r="I55" s="111"/>
      <c r="J55" s="93" t="s">
        <v>277</v>
      </c>
      <c r="K55" s="42" t="s">
        <v>60</v>
      </c>
      <c r="L55" s="93" t="s">
        <v>61</v>
      </c>
    </row>
    <row r="56">
      <c r="A56" s="92">
        <v>55.0</v>
      </c>
      <c r="B56" s="1" t="s">
        <v>278</v>
      </c>
      <c r="C56" s="109"/>
      <c r="D56" s="98" t="s">
        <v>279</v>
      </c>
      <c r="E56" s="112"/>
      <c r="F56" s="1" t="s">
        <v>280</v>
      </c>
      <c r="G56" s="93" t="s">
        <v>281</v>
      </c>
      <c r="H56" s="1">
        <v>875.0</v>
      </c>
      <c r="I56" s="111"/>
      <c r="J56" s="93" t="s">
        <v>282</v>
      </c>
      <c r="K56" s="42" t="s">
        <v>60</v>
      </c>
      <c r="L56" s="93" t="s">
        <v>61</v>
      </c>
    </row>
    <row r="57">
      <c r="A57" s="92">
        <v>56.0</v>
      </c>
      <c r="B57" s="1" t="s">
        <v>283</v>
      </c>
      <c r="C57" s="97" t="s">
        <v>284</v>
      </c>
      <c r="D57" s="110"/>
      <c r="E57" s="112"/>
      <c r="F57" s="1" t="s">
        <v>15</v>
      </c>
      <c r="G57" s="1" t="s">
        <v>285</v>
      </c>
      <c r="H57" s="1">
        <v>41.0</v>
      </c>
      <c r="I57" s="111"/>
      <c r="J57" s="93" t="s">
        <v>59</v>
      </c>
      <c r="K57" s="42" t="s">
        <v>60</v>
      </c>
      <c r="L57" s="93" t="s">
        <v>61</v>
      </c>
    </row>
    <row r="58">
      <c r="A58" s="92">
        <v>57.0</v>
      </c>
      <c r="B58" s="1" t="s">
        <v>286</v>
      </c>
      <c r="C58" s="109"/>
      <c r="D58" s="110"/>
      <c r="E58" s="112"/>
      <c r="G58" s="93" t="s">
        <v>287</v>
      </c>
      <c r="I58" s="111"/>
      <c r="J58" s="111"/>
      <c r="K58" s="42" t="s">
        <v>60</v>
      </c>
      <c r="L58" s="93" t="s">
        <v>61</v>
      </c>
    </row>
    <row r="59">
      <c r="A59" s="92">
        <v>58.0</v>
      </c>
      <c r="B59" s="1" t="s">
        <v>288</v>
      </c>
      <c r="C59" s="109"/>
      <c r="D59" s="98" t="s">
        <v>289</v>
      </c>
      <c r="E59" s="112"/>
      <c r="G59" s="93" t="s">
        <v>290</v>
      </c>
      <c r="I59" s="111"/>
      <c r="J59" s="93" t="s">
        <v>291</v>
      </c>
      <c r="K59" s="42" t="s">
        <v>60</v>
      </c>
      <c r="L59" s="93" t="s">
        <v>61</v>
      </c>
    </row>
    <row r="60">
      <c r="A60" s="92">
        <v>59.0</v>
      </c>
      <c r="B60" s="1" t="s">
        <v>292</v>
      </c>
      <c r="C60" s="109"/>
      <c r="D60" s="98" t="s">
        <v>293</v>
      </c>
      <c r="E60" s="112"/>
      <c r="F60" s="1" t="s">
        <v>217</v>
      </c>
      <c r="G60" s="93" t="s">
        <v>182</v>
      </c>
      <c r="H60" s="1">
        <v>327.0</v>
      </c>
      <c r="I60" s="111"/>
      <c r="J60" s="111"/>
      <c r="K60" s="42" t="s">
        <v>60</v>
      </c>
      <c r="L60" s="93" t="s">
        <v>61</v>
      </c>
    </row>
    <row r="61">
      <c r="A61" s="92">
        <v>60.0</v>
      </c>
      <c r="B61" s="1" t="s">
        <v>294</v>
      </c>
      <c r="C61" s="109"/>
      <c r="D61" s="98" t="s">
        <v>295</v>
      </c>
      <c r="E61" s="112"/>
      <c r="F61" s="115" t="s">
        <v>296</v>
      </c>
      <c r="G61" s="93" t="s">
        <v>297</v>
      </c>
      <c r="H61" s="1">
        <v>123.0</v>
      </c>
      <c r="I61" s="111"/>
      <c r="J61" s="93" t="s">
        <v>59</v>
      </c>
      <c r="K61" s="42" t="s">
        <v>60</v>
      </c>
      <c r="L61" s="93" t="s">
        <v>61</v>
      </c>
    </row>
    <row r="62">
      <c r="A62" s="92">
        <v>61.0</v>
      </c>
      <c r="B62" s="1" t="s">
        <v>298</v>
      </c>
      <c r="C62" s="109"/>
      <c r="D62" s="98" t="s">
        <v>299</v>
      </c>
      <c r="E62" s="112"/>
      <c r="G62" s="93" t="s">
        <v>300</v>
      </c>
      <c r="H62" s="1" t="s">
        <v>264</v>
      </c>
      <c r="I62" s="111"/>
      <c r="J62" s="111"/>
      <c r="K62" s="42" t="s">
        <v>301</v>
      </c>
      <c r="L62" s="93" t="s">
        <v>61</v>
      </c>
    </row>
    <row r="63">
      <c r="A63" s="92">
        <v>62.0</v>
      </c>
      <c r="B63" s="1" t="s">
        <v>302</v>
      </c>
      <c r="C63" s="97" t="s">
        <v>303</v>
      </c>
      <c r="D63" s="110"/>
      <c r="E63" s="96" t="s">
        <v>304</v>
      </c>
      <c r="G63" s="93" t="s">
        <v>305</v>
      </c>
      <c r="H63" s="1">
        <v>225.0</v>
      </c>
      <c r="I63" s="111"/>
      <c r="J63" s="93" t="s">
        <v>306</v>
      </c>
      <c r="K63" s="42" t="s">
        <v>60</v>
      </c>
      <c r="L63" s="93" t="s">
        <v>61</v>
      </c>
    </row>
    <row r="64">
      <c r="A64" s="92">
        <v>63.0</v>
      </c>
      <c r="B64" s="1" t="s">
        <v>307</v>
      </c>
      <c r="C64" s="109"/>
      <c r="D64" s="98" t="s">
        <v>308</v>
      </c>
      <c r="E64" s="112"/>
      <c r="F64" s="1" t="s">
        <v>309</v>
      </c>
      <c r="G64" s="93" t="s">
        <v>310</v>
      </c>
      <c r="H64" s="1">
        <v>625.0</v>
      </c>
      <c r="I64" s="111"/>
      <c r="J64" s="93" t="s">
        <v>116</v>
      </c>
      <c r="K64" s="42" t="s">
        <v>60</v>
      </c>
      <c r="L64" s="93" t="s">
        <v>61</v>
      </c>
    </row>
    <row r="65">
      <c r="A65" s="92">
        <v>64.0</v>
      </c>
      <c r="B65" s="1" t="s">
        <v>311</v>
      </c>
      <c r="C65" s="109"/>
      <c r="D65" s="98" t="s">
        <v>312</v>
      </c>
      <c r="E65" s="112"/>
      <c r="G65" s="93" t="s">
        <v>313</v>
      </c>
      <c r="H65" s="1">
        <v>398.0</v>
      </c>
      <c r="I65" s="111"/>
      <c r="J65" s="93" t="s">
        <v>191</v>
      </c>
      <c r="K65" s="42" t="s">
        <v>60</v>
      </c>
      <c r="L65" s="93" t="s">
        <v>61</v>
      </c>
    </row>
    <row r="66">
      <c r="A66" s="92">
        <v>65.0</v>
      </c>
      <c r="B66" s="1" t="s">
        <v>314</v>
      </c>
      <c r="C66" s="109"/>
      <c r="D66" s="98" t="s">
        <v>315</v>
      </c>
      <c r="E66" s="112"/>
      <c r="G66" s="93" t="s">
        <v>316</v>
      </c>
      <c r="H66" s="1">
        <v>7.0</v>
      </c>
      <c r="I66" s="111"/>
      <c r="J66" s="93" t="s">
        <v>59</v>
      </c>
      <c r="K66" s="42" t="s">
        <v>317</v>
      </c>
      <c r="L66" s="93" t="s">
        <v>61</v>
      </c>
    </row>
    <row r="67">
      <c r="A67" s="92">
        <v>66.0</v>
      </c>
      <c r="B67" s="1" t="s">
        <v>318</v>
      </c>
      <c r="C67" s="109"/>
      <c r="D67" s="110"/>
      <c r="E67" s="112"/>
      <c r="G67" s="93" t="s">
        <v>319</v>
      </c>
      <c r="H67" s="1">
        <v>299.0</v>
      </c>
      <c r="I67" s="111"/>
      <c r="J67" s="111"/>
      <c r="K67" s="42" t="s">
        <v>60</v>
      </c>
      <c r="L67" s="93" t="s">
        <v>61</v>
      </c>
    </row>
    <row r="68">
      <c r="A68" s="92">
        <v>67.0</v>
      </c>
      <c r="B68" s="1" t="s">
        <v>320</v>
      </c>
      <c r="C68" s="109"/>
      <c r="D68" s="98" t="s">
        <v>321</v>
      </c>
      <c r="E68" s="112"/>
      <c r="G68" s="93" t="s">
        <v>322</v>
      </c>
      <c r="H68" s="1">
        <v>240.0</v>
      </c>
      <c r="I68" s="111"/>
      <c r="J68" s="93" t="s">
        <v>86</v>
      </c>
      <c r="K68" s="42" t="s">
        <v>60</v>
      </c>
      <c r="L68" s="93" t="s">
        <v>61</v>
      </c>
    </row>
    <row r="69">
      <c r="A69" s="92">
        <v>68.0</v>
      </c>
      <c r="B69" s="1" t="s">
        <v>117</v>
      </c>
      <c r="C69" s="109"/>
      <c r="D69" s="98" t="s">
        <v>323</v>
      </c>
      <c r="E69" s="112"/>
      <c r="F69" s="1" t="s">
        <v>324</v>
      </c>
      <c r="G69" s="93" t="s">
        <v>319</v>
      </c>
      <c r="H69" s="1">
        <v>300.0</v>
      </c>
      <c r="I69" s="111"/>
      <c r="J69" s="93" t="s">
        <v>325</v>
      </c>
      <c r="K69" s="42" t="s">
        <v>60</v>
      </c>
      <c r="L69" s="93" t="s">
        <v>61</v>
      </c>
    </row>
    <row r="70">
      <c r="A70" s="92">
        <v>69.0</v>
      </c>
      <c r="B70" s="1" t="s">
        <v>326</v>
      </c>
      <c r="C70" s="109"/>
      <c r="D70" s="98" t="s">
        <v>327</v>
      </c>
      <c r="E70" s="96" t="s">
        <v>328</v>
      </c>
      <c r="F70" s="116" t="s">
        <v>329</v>
      </c>
      <c r="G70" s="93" t="s">
        <v>330</v>
      </c>
      <c r="H70" s="1" t="s">
        <v>15</v>
      </c>
      <c r="I70" s="1" t="s">
        <v>331</v>
      </c>
      <c r="J70" s="93" t="s">
        <v>332</v>
      </c>
      <c r="K70" s="42" t="s">
        <v>333</v>
      </c>
      <c r="L70" s="93" t="s">
        <v>152</v>
      </c>
    </row>
    <row r="71">
      <c r="A71" s="92">
        <v>70.0</v>
      </c>
      <c r="B71" s="1" t="s">
        <v>334</v>
      </c>
      <c r="C71" s="109"/>
      <c r="D71" s="98" t="s">
        <v>335</v>
      </c>
      <c r="E71" s="96" t="s">
        <v>336</v>
      </c>
      <c r="F71" s="1" t="s">
        <v>337</v>
      </c>
      <c r="G71" s="93" t="s">
        <v>338</v>
      </c>
      <c r="H71" s="1">
        <v>2131.0</v>
      </c>
      <c r="I71" s="93" t="s">
        <v>339</v>
      </c>
      <c r="J71" s="93" t="s">
        <v>59</v>
      </c>
      <c r="K71" s="42" t="s">
        <v>60</v>
      </c>
      <c r="L71" s="93" t="s">
        <v>61</v>
      </c>
    </row>
    <row r="72">
      <c r="A72" s="92">
        <v>71.0</v>
      </c>
      <c r="B72" s="1" t="s">
        <v>340</v>
      </c>
      <c r="C72" s="109"/>
      <c r="D72" s="98" t="s">
        <v>341</v>
      </c>
      <c r="E72" s="96" t="s">
        <v>342</v>
      </c>
      <c r="F72" s="1" t="s">
        <v>343</v>
      </c>
      <c r="G72" s="93" t="s">
        <v>344</v>
      </c>
      <c r="H72" s="1">
        <v>209.0</v>
      </c>
      <c r="I72" s="111"/>
      <c r="J72" s="93" t="s">
        <v>15</v>
      </c>
      <c r="K72" s="93" t="s">
        <v>345</v>
      </c>
      <c r="L72" s="93" t="s">
        <v>165</v>
      </c>
    </row>
    <row r="73">
      <c r="A73" s="92">
        <v>72.0</v>
      </c>
      <c r="B73" s="1" t="s">
        <v>346</v>
      </c>
      <c r="C73" s="109"/>
      <c r="D73" s="98" t="s">
        <v>347</v>
      </c>
      <c r="E73" s="96" t="s">
        <v>348</v>
      </c>
      <c r="F73" s="1" t="s">
        <v>349</v>
      </c>
      <c r="G73" s="93" t="s">
        <v>350</v>
      </c>
      <c r="H73" s="1">
        <v>567.0</v>
      </c>
      <c r="I73" s="93" t="s">
        <v>351</v>
      </c>
      <c r="J73" s="93" t="s">
        <v>59</v>
      </c>
      <c r="K73" s="42" t="s">
        <v>60</v>
      </c>
      <c r="L73" s="93" t="s">
        <v>61</v>
      </c>
    </row>
    <row r="74">
      <c r="A74" s="92">
        <v>73.0</v>
      </c>
      <c r="B74" s="1" t="s">
        <v>352</v>
      </c>
      <c r="C74" s="109"/>
      <c r="D74" s="110"/>
      <c r="E74" s="112"/>
      <c r="G74" s="93" t="s">
        <v>353</v>
      </c>
      <c r="H74" s="1">
        <v>28.0</v>
      </c>
      <c r="I74" s="111"/>
      <c r="J74" s="93" t="s">
        <v>15</v>
      </c>
      <c r="K74" s="42" t="s">
        <v>60</v>
      </c>
      <c r="L74" s="93" t="s">
        <v>61</v>
      </c>
    </row>
    <row r="75">
      <c r="A75" s="92">
        <v>74.0</v>
      </c>
      <c r="B75" s="1" t="s">
        <v>354</v>
      </c>
      <c r="C75" s="97" t="s">
        <v>15</v>
      </c>
      <c r="D75" s="98" t="s">
        <v>355</v>
      </c>
      <c r="E75" s="112"/>
      <c r="G75" s="93" t="s">
        <v>356</v>
      </c>
      <c r="H75" s="1">
        <v>81.0</v>
      </c>
      <c r="I75" s="111"/>
      <c r="J75" s="93" t="s">
        <v>277</v>
      </c>
      <c r="K75" s="42" t="s">
        <v>60</v>
      </c>
      <c r="L75" s="93" t="s">
        <v>61</v>
      </c>
    </row>
    <row r="76">
      <c r="A76" s="92">
        <v>75.0</v>
      </c>
      <c r="B76" s="1" t="s">
        <v>357</v>
      </c>
      <c r="C76" s="97" t="s">
        <v>358</v>
      </c>
      <c r="D76" s="110"/>
      <c r="E76" s="112"/>
      <c r="G76" s="93" t="s">
        <v>359</v>
      </c>
      <c r="H76" s="1">
        <v>507.0</v>
      </c>
      <c r="I76" s="111"/>
      <c r="J76" s="111"/>
      <c r="K76" s="42" t="s">
        <v>60</v>
      </c>
      <c r="L76" s="93" t="s">
        <v>61</v>
      </c>
    </row>
    <row r="77">
      <c r="A77" s="92">
        <v>76.0</v>
      </c>
      <c r="B77" s="1" t="s">
        <v>360</v>
      </c>
      <c r="C77" s="97" t="s">
        <v>361</v>
      </c>
      <c r="D77" s="110"/>
      <c r="E77" s="112"/>
      <c r="G77" s="1" t="s">
        <v>362</v>
      </c>
      <c r="H77" s="1">
        <v>345.0</v>
      </c>
      <c r="I77" s="111"/>
      <c r="J77" s="93" t="s">
        <v>363</v>
      </c>
      <c r="K77" s="42" t="s">
        <v>78</v>
      </c>
      <c r="L77" s="93" t="s">
        <v>61</v>
      </c>
    </row>
    <row r="78">
      <c r="A78" s="92">
        <v>77.0</v>
      </c>
      <c r="B78" s="1" t="s">
        <v>364</v>
      </c>
      <c r="C78" s="109"/>
      <c r="D78" s="98" t="s">
        <v>365</v>
      </c>
      <c r="E78" s="112"/>
      <c r="G78" s="1" t="s">
        <v>366</v>
      </c>
      <c r="H78" s="1">
        <v>45.0</v>
      </c>
      <c r="I78" s="111"/>
      <c r="J78" s="93" t="s">
        <v>367</v>
      </c>
      <c r="K78" s="42" t="s">
        <v>368</v>
      </c>
      <c r="L78" s="93" t="s">
        <v>61</v>
      </c>
    </row>
    <row r="79">
      <c r="A79" s="92">
        <v>78.0</v>
      </c>
      <c r="B79" s="1" t="s">
        <v>369</v>
      </c>
      <c r="C79" s="97" t="s">
        <v>370</v>
      </c>
      <c r="D79" s="110"/>
      <c r="E79" s="112"/>
      <c r="G79" s="93" t="s">
        <v>371</v>
      </c>
      <c r="I79" s="111"/>
      <c r="J79" s="111"/>
      <c r="K79" s="42" t="s">
        <v>60</v>
      </c>
      <c r="L79" s="93" t="s">
        <v>61</v>
      </c>
    </row>
    <row r="80">
      <c r="A80" s="92">
        <v>79.0</v>
      </c>
      <c r="B80" s="1" t="s">
        <v>372</v>
      </c>
      <c r="C80" s="109"/>
      <c r="D80" s="98" t="s">
        <v>373</v>
      </c>
      <c r="E80" s="112"/>
      <c r="F80" s="1" t="s">
        <v>15</v>
      </c>
      <c r="G80" s="93" t="s">
        <v>374</v>
      </c>
      <c r="H80" s="1">
        <v>835.0</v>
      </c>
      <c r="I80" s="111"/>
      <c r="J80" s="93" t="s">
        <v>375</v>
      </c>
      <c r="K80" s="42" t="s">
        <v>78</v>
      </c>
      <c r="L80" s="93" t="s">
        <v>61</v>
      </c>
    </row>
    <row r="81">
      <c r="A81" s="92">
        <v>80.0</v>
      </c>
      <c r="B81" s="1" t="s">
        <v>376</v>
      </c>
      <c r="C81" s="109"/>
      <c r="D81" s="98" t="s">
        <v>377</v>
      </c>
      <c r="E81" s="112"/>
      <c r="G81" s="93" t="s">
        <v>378</v>
      </c>
      <c r="H81" s="1">
        <v>310.0</v>
      </c>
      <c r="I81" s="111"/>
      <c r="J81" s="93" t="s">
        <v>379</v>
      </c>
      <c r="K81" s="42" t="s">
        <v>380</v>
      </c>
      <c r="L81" s="93" t="s">
        <v>61</v>
      </c>
    </row>
    <row r="82">
      <c r="A82" s="92">
        <v>81.0</v>
      </c>
      <c r="B82" s="1" t="s">
        <v>381</v>
      </c>
      <c r="C82" s="109"/>
      <c r="D82" s="110"/>
      <c r="E82" s="112"/>
      <c r="G82" s="93" t="s">
        <v>382</v>
      </c>
      <c r="I82" s="111"/>
      <c r="J82" s="93" t="s">
        <v>169</v>
      </c>
      <c r="K82" s="42" t="s">
        <v>60</v>
      </c>
      <c r="L82" s="93" t="s">
        <v>61</v>
      </c>
    </row>
    <row r="83">
      <c r="A83" s="92">
        <v>82.0</v>
      </c>
      <c r="B83" s="1" t="s">
        <v>383</v>
      </c>
      <c r="C83" s="109"/>
      <c r="D83" s="98" t="s">
        <v>384</v>
      </c>
      <c r="E83" s="112"/>
      <c r="G83" s="93" t="s">
        <v>182</v>
      </c>
      <c r="H83" s="1">
        <v>2511.0</v>
      </c>
      <c r="I83" s="111"/>
      <c r="J83" s="111"/>
      <c r="K83" s="42" t="s">
        <v>60</v>
      </c>
      <c r="L83" s="93" t="s">
        <v>61</v>
      </c>
    </row>
    <row r="84">
      <c r="A84" s="92">
        <v>83.0</v>
      </c>
      <c r="B84" s="1" t="s">
        <v>385</v>
      </c>
      <c r="C84" s="109"/>
      <c r="D84" s="98" t="s">
        <v>386</v>
      </c>
      <c r="E84" s="112"/>
      <c r="G84" s="93" t="s">
        <v>190</v>
      </c>
      <c r="H84" s="1">
        <v>444.0</v>
      </c>
      <c r="I84" s="111"/>
      <c r="J84" s="111"/>
      <c r="K84" s="42" t="s">
        <v>60</v>
      </c>
      <c r="L84" s="93" t="s">
        <v>61</v>
      </c>
    </row>
    <row r="85">
      <c r="A85" s="92">
        <v>84.0</v>
      </c>
      <c r="B85" s="1" t="s">
        <v>387</v>
      </c>
      <c r="C85" s="109"/>
      <c r="D85" s="98" t="s">
        <v>388</v>
      </c>
      <c r="E85" s="112"/>
      <c r="G85" s="111"/>
      <c r="I85" s="111"/>
      <c r="J85" s="111"/>
      <c r="K85" s="114"/>
      <c r="L85" s="111"/>
    </row>
    <row r="86">
      <c r="A86" s="92">
        <v>85.0</v>
      </c>
      <c r="B86" s="1" t="s">
        <v>389</v>
      </c>
      <c r="C86" s="97" t="s">
        <v>390</v>
      </c>
      <c r="D86" s="110"/>
      <c r="E86" s="112"/>
      <c r="G86" s="93" t="s">
        <v>391</v>
      </c>
      <c r="H86" s="1">
        <v>219.0</v>
      </c>
      <c r="I86" s="111"/>
      <c r="J86" s="93" t="s">
        <v>392</v>
      </c>
      <c r="K86" s="42" t="s">
        <v>60</v>
      </c>
      <c r="L86" s="93" t="s">
        <v>61</v>
      </c>
    </row>
    <row r="87">
      <c r="A87" s="92">
        <v>86.0</v>
      </c>
      <c r="B87" s="1" t="s">
        <v>393</v>
      </c>
      <c r="C87" s="97" t="s">
        <v>394</v>
      </c>
      <c r="D87" s="110"/>
      <c r="E87" s="112"/>
      <c r="G87" s="93" t="s">
        <v>395</v>
      </c>
      <c r="H87" s="1">
        <v>243.0</v>
      </c>
      <c r="I87" s="111"/>
      <c r="J87" s="93" t="s">
        <v>396</v>
      </c>
      <c r="K87" s="42" t="s">
        <v>60</v>
      </c>
      <c r="L87" s="93" t="s">
        <v>61</v>
      </c>
    </row>
    <row r="88">
      <c r="A88" s="92">
        <v>87.0</v>
      </c>
      <c r="B88" s="1" t="s">
        <v>397</v>
      </c>
      <c r="C88" s="97" t="s">
        <v>398</v>
      </c>
      <c r="D88" s="110"/>
      <c r="E88" s="112"/>
      <c r="G88" s="93" t="s">
        <v>399</v>
      </c>
      <c r="H88" s="1">
        <v>165.0</v>
      </c>
      <c r="I88" s="111"/>
      <c r="J88" s="93" t="s">
        <v>100</v>
      </c>
      <c r="K88" s="42" t="s">
        <v>60</v>
      </c>
      <c r="L88" s="93" t="s">
        <v>61</v>
      </c>
    </row>
    <row r="89">
      <c r="A89" s="92">
        <v>88.0</v>
      </c>
      <c r="B89" s="1" t="s">
        <v>400</v>
      </c>
      <c r="C89" s="97" t="s">
        <v>15</v>
      </c>
      <c r="D89" s="98" t="s">
        <v>401</v>
      </c>
      <c r="E89" s="112"/>
      <c r="G89" s="93" t="s">
        <v>402</v>
      </c>
      <c r="H89" s="1">
        <v>455.0</v>
      </c>
      <c r="I89" s="93" t="s">
        <v>403</v>
      </c>
      <c r="J89" s="93" t="s">
        <v>59</v>
      </c>
      <c r="K89" s="42" t="s">
        <v>60</v>
      </c>
      <c r="L89" s="93" t="s">
        <v>61</v>
      </c>
    </row>
    <row r="90">
      <c r="A90" s="92">
        <v>89.0</v>
      </c>
      <c r="B90" s="1" t="s">
        <v>65</v>
      </c>
      <c r="C90" s="109"/>
      <c r="D90" s="98" t="s">
        <v>404</v>
      </c>
      <c r="E90" s="112"/>
      <c r="G90" s="93" t="s">
        <v>405</v>
      </c>
      <c r="H90" s="1">
        <v>120.0</v>
      </c>
      <c r="I90" s="93"/>
      <c r="J90" s="93" t="s">
        <v>191</v>
      </c>
      <c r="K90" s="42" t="s">
        <v>60</v>
      </c>
      <c r="L90" s="93" t="s">
        <v>61</v>
      </c>
    </row>
    <row r="91">
      <c r="A91" s="92">
        <v>90.0</v>
      </c>
      <c r="B91" s="1" t="s">
        <v>406</v>
      </c>
      <c r="C91" s="97" t="s">
        <v>407</v>
      </c>
      <c r="D91" s="110"/>
      <c r="E91" s="112"/>
      <c r="G91" s="93" t="s">
        <v>273</v>
      </c>
      <c r="H91" s="1">
        <v>811.0</v>
      </c>
      <c r="I91" s="93" t="s">
        <v>15</v>
      </c>
      <c r="J91" s="93" t="s">
        <v>214</v>
      </c>
      <c r="K91" s="42" t="s">
        <v>60</v>
      </c>
      <c r="L91" s="93" t="s">
        <v>61</v>
      </c>
    </row>
    <row r="92">
      <c r="A92" s="92">
        <v>91.0</v>
      </c>
      <c r="B92" s="1" t="s">
        <v>408</v>
      </c>
      <c r="C92" s="109"/>
      <c r="D92" s="98" t="s">
        <v>409</v>
      </c>
      <c r="E92" s="112"/>
      <c r="G92" s="93" t="s">
        <v>410</v>
      </c>
      <c r="H92" s="1">
        <v>250.0</v>
      </c>
      <c r="I92" s="111"/>
      <c r="J92" s="93" t="s">
        <v>411</v>
      </c>
      <c r="K92" s="42" t="s">
        <v>60</v>
      </c>
      <c r="L92" s="93" t="s">
        <v>61</v>
      </c>
    </row>
    <row r="93">
      <c r="A93" s="92">
        <v>92.0</v>
      </c>
      <c r="B93" s="1" t="s">
        <v>412</v>
      </c>
      <c r="C93" s="109"/>
      <c r="D93" s="110"/>
      <c r="E93" s="112"/>
      <c r="G93" s="111"/>
      <c r="I93" s="111"/>
      <c r="J93" s="111"/>
      <c r="K93" s="114"/>
      <c r="L93" s="111"/>
    </row>
    <row r="94">
      <c r="A94" s="92">
        <v>93.0</v>
      </c>
      <c r="B94" s="1" t="s">
        <v>413</v>
      </c>
      <c r="C94" s="97" t="s">
        <v>414</v>
      </c>
      <c r="D94" s="110"/>
      <c r="E94" s="112"/>
      <c r="G94" s="93" t="s">
        <v>415</v>
      </c>
      <c r="H94" s="1">
        <v>288.0</v>
      </c>
      <c r="I94" s="111"/>
      <c r="J94" s="93" t="s">
        <v>416</v>
      </c>
      <c r="K94" s="42" t="s">
        <v>60</v>
      </c>
      <c r="L94" s="93" t="s">
        <v>61</v>
      </c>
    </row>
    <row r="95">
      <c r="A95" s="92">
        <v>94.0</v>
      </c>
      <c r="B95" s="1" t="s">
        <v>417</v>
      </c>
      <c r="C95" s="97" t="s">
        <v>418</v>
      </c>
      <c r="D95" s="110"/>
      <c r="E95" s="112"/>
      <c r="G95" s="93" t="s">
        <v>419</v>
      </c>
      <c r="H95" s="1">
        <v>215.0</v>
      </c>
      <c r="I95" s="111"/>
      <c r="J95" s="93" t="s">
        <v>420</v>
      </c>
      <c r="K95" s="42" t="s">
        <v>60</v>
      </c>
      <c r="L95" s="93" t="s">
        <v>61</v>
      </c>
    </row>
    <row r="96">
      <c r="A96" s="92">
        <v>95.0</v>
      </c>
      <c r="B96" s="1" t="s">
        <v>421</v>
      </c>
      <c r="C96" s="109"/>
      <c r="D96" s="98" t="s">
        <v>422</v>
      </c>
      <c r="E96" s="96" t="s">
        <v>423</v>
      </c>
      <c r="F96" s="1" t="s">
        <v>424</v>
      </c>
      <c r="G96" s="93" t="s">
        <v>425</v>
      </c>
      <c r="H96" s="1">
        <v>98.0</v>
      </c>
      <c r="I96" s="111"/>
      <c r="J96" s="93" t="s">
        <v>59</v>
      </c>
      <c r="K96" s="42" t="s">
        <v>60</v>
      </c>
      <c r="L96" s="93" t="s">
        <v>61</v>
      </c>
    </row>
    <row r="97">
      <c r="A97" s="92">
        <v>96.0</v>
      </c>
      <c r="B97" s="1" t="s">
        <v>426</v>
      </c>
      <c r="C97" s="109"/>
      <c r="D97" s="98" t="s">
        <v>427</v>
      </c>
      <c r="E97" s="112"/>
      <c r="G97" s="111"/>
      <c r="I97" s="111"/>
      <c r="J97" s="111"/>
      <c r="K97" s="114"/>
      <c r="L97" s="111"/>
    </row>
    <row r="98">
      <c r="A98" s="92">
        <v>97.0</v>
      </c>
      <c r="B98" s="1" t="s">
        <v>428</v>
      </c>
      <c r="C98" s="109"/>
      <c r="D98" s="98" t="s">
        <v>429</v>
      </c>
      <c r="E98" s="112"/>
      <c r="G98" s="93" t="s">
        <v>430</v>
      </c>
      <c r="H98" s="1">
        <v>225.0</v>
      </c>
      <c r="I98" s="111"/>
      <c r="J98" s="93" t="s">
        <v>431</v>
      </c>
      <c r="K98" s="42" t="s">
        <v>60</v>
      </c>
      <c r="L98" s="93" t="s">
        <v>61</v>
      </c>
    </row>
    <row r="99">
      <c r="A99" s="92">
        <v>98.0</v>
      </c>
      <c r="B99" s="1" t="s">
        <v>432</v>
      </c>
      <c r="C99" s="109"/>
      <c r="D99" s="98" t="s">
        <v>433</v>
      </c>
      <c r="E99" s="96" t="s">
        <v>434</v>
      </c>
      <c r="G99" s="93" t="s">
        <v>435</v>
      </c>
      <c r="H99" s="1">
        <v>1825.0</v>
      </c>
      <c r="I99" s="111"/>
      <c r="J99" s="93" t="s">
        <v>436</v>
      </c>
      <c r="K99" s="42" t="s">
        <v>437</v>
      </c>
      <c r="L99" s="93" t="s">
        <v>165</v>
      </c>
    </row>
    <row r="100">
      <c r="A100" s="92">
        <v>99.0</v>
      </c>
      <c r="B100" s="1" t="s">
        <v>438</v>
      </c>
      <c r="C100" s="109"/>
      <c r="D100" s="98" t="s">
        <v>439</v>
      </c>
      <c r="E100" s="112"/>
      <c r="G100" s="93" t="s">
        <v>440</v>
      </c>
      <c r="H100" s="1">
        <v>1895.0</v>
      </c>
      <c r="I100" s="111"/>
      <c r="J100" s="93" t="s">
        <v>116</v>
      </c>
      <c r="K100" s="42" t="s">
        <v>60</v>
      </c>
      <c r="L100" s="93" t="s">
        <v>61</v>
      </c>
    </row>
    <row r="101">
      <c r="A101" s="92">
        <v>100.0</v>
      </c>
      <c r="B101" s="1" t="s">
        <v>441</v>
      </c>
      <c r="C101" s="109"/>
      <c r="D101" s="98" t="s">
        <v>442</v>
      </c>
      <c r="E101" s="112"/>
      <c r="F101" s="1" t="s">
        <v>443</v>
      </c>
      <c r="G101" s="93" t="s">
        <v>444</v>
      </c>
      <c r="H101" s="1">
        <v>40.0</v>
      </c>
      <c r="I101" s="111"/>
      <c r="J101" s="93" t="s">
        <v>282</v>
      </c>
      <c r="K101" s="42" t="s">
        <v>60</v>
      </c>
      <c r="L101" s="93" t="s">
        <v>61</v>
      </c>
    </row>
    <row r="102">
      <c r="A102" s="92">
        <v>101.0</v>
      </c>
      <c r="B102" s="1" t="s">
        <v>445</v>
      </c>
      <c r="C102" s="109"/>
      <c r="D102" s="98" t="s">
        <v>446</v>
      </c>
      <c r="E102" s="112"/>
      <c r="G102" s="93" t="s">
        <v>182</v>
      </c>
      <c r="H102" s="1">
        <v>1623.0</v>
      </c>
      <c r="I102" s="111"/>
      <c r="J102" s="93" t="s">
        <v>116</v>
      </c>
      <c r="K102" s="42" t="s">
        <v>60</v>
      </c>
      <c r="L102" s="93" t="s">
        <v>61</v>
      </c>
    </row>
    <row r="103">
      <c r="A103" s="92">
        <v>102.0</v>
      </c>
      <c r="B103" s="1" t="s">
        <v>447</v>
      </c>
      <c r="C103" s="109"/>
      <c r="D103" s="98" t="s">
        <v>448</v>
      </c>
      <c r="E103" s="112"/>
      <c r="G103" s="93" t="s">
        <v>449</v>
      </c>
      <c r="H103" s="1">
        <v>555.0</v>
      </c>
      <c r="I103" s="111"/>
      <c r="J103" s="93" t="s">
        <v>450</v>
      </c>
      <c r="K103" s="42" t="s">
        <v>451</v>
      </c>
      <c r="L103" s="93" t="s">
        <v>165</v>
      </c>
    </row>
    <row r="104">
      <c r="A104" s="92">
        <v>103.0</v>
      </c>
      <c r="B104" s="1" t="s">
        <v>452</v>
      </c>
      <c r="C104" s="109"/>
      <c r="D104" s="98" t="s">
        <v>453</v>
      </c>
      <c r="E104" s="112"/>
      <c r="G104" s="93" t="s">
        <v>410</v>
      </c>
      <c r="H104" s="1">
        <v>1174.0</v>
      </c>
      <c r="I104" s="111"/>
      <c r="J104" s="93" t="s">
        <v>68</v>
      </c>
      <c r="K104" s="42" t="s">
        <v>60</v>
      </c>
      <c r="L104" s="93" t="s">
        <v>61</v>
      </c>
    </row>
    <row r="105">
      <c r="A105" s="92">
        <v>104.0</v>
      </c>
      <c r="B105" s="1" t="s">
        <v>454</v>
      </c>
      <c r="C105" s="97" t="s">
        <v>455</v>
      </c>
      <c r="D105" s="110"/>
      <c r="E105" s="112"/>
      <c r="G105" s="93" t="s">
        <v>456</v>
      </c>
      <c r="H105" s="1">
        <v>121.0</v>
      </c>
      <c r="I105" s="111"/>
      <c r="J105" s="93" t="s">
        <v>457</v>
      </c>
      <c r="K105" s="42" t="s">
        <v>60</v>
      </c>
      <c r="L105" s="93" t="s">
        <v>61</v>
      </c>
    </row>
    <row r="106">
      <c r="A106" s="92">
        <v>105.0</v>
      </c>
      <c r="B106" s="1" t="s">
        <v>458</v>
      </c>
      <c r="C106" s="109"/>
      <c r="D106" s="98" t="s">
        <v>459</v>
      </c>
      <c r="E106" s="112"/>
      <c r="G106" s="93" t="s">
        <v>460</v>
      </c>
      <c r="H106" s="1">
        <v>122.0</v>
      </c>
      <c r="I106" s="111"/>
      <c r="J106" s="93" t="s">
        <v>461</v>
      </c>
      <c r="K106" s="42" t="s">
        <v>60</v>
      </c>
      <c r="L106" s="93" t="s">
        <v>61</v>
      </c>
    </row>
    <row r="107">
      <c r="A107" s="92">
        <v>106.0</v>
      </c>
      <c r="B107" s="1" t="s">
        <v>462</v>
      </c>
      <c r="C107" s="97" t="s">
        <v>463</v>
      </c>
      <c r="D107" s="110"/>
      <c r="E107" s="112"/>
      <c r="G107" s="93" t="s">
        <v>464</v>
      </c>
      <c r="H107" s="1">
        <v>161.0</v>
      </c>
      <c r="I107" s="111"/>
      <c r="J107" s="93" t="s">
        <v>465</v>
      </c>
      <c r="K107" s="42" t="s">
        <v>60</v>
      </c>
      <c r="L107" s="93" t="s">
        <v>61</v>
      </c>
    </row>
    <row r="108">
      <c r="A108" s="92">
        <v>107.0</v>
      </c>
      <c r="B108" s="1" t="s">
        <v>466</v>
      </c>
      <c r="C108" s="97" t="s">
        <v>467</v>
      </c>
      <c r="D108" s="110"/>
      <c r="E108" s="112"/>
      <c r="G108" s="93" t="s">
        <v>468</v>
      </c>
      <c r="I108" s="111"/>
      <c r="J108" s="93" t="s">
        <v>15</v>
      </c>
      <c r="K108" s="42" t="s">
        <v>60</v>
      </c>
      <c r="L108" s="93" t="s">
        <v>61</v>
      </c>
    </row>
    <row r="109">
      <c r="A109" s="92">
        <v>108.0</v>
      </c>
      <c r="B109" s="1" t="s">
        <v>469</v>
      </c>
      <c r="C109" s="109"/>
      <c r="D109" s="98" t="s">
        <v>470</v>
      </c>
      <c r="E109" s="112"/>
      <c r="G109" s="93" t="s">
        <v>471</v>
      </c>
      <c r="H109" s="1">
        <v>285.0</v>
      </c>
      <c r="I109" s="111"/>
      <c r="J109" s="93" t="s">
        <v>472</v>
      </c>
      <c r="K109" s="42" t="s">
        <v>473</v>
      </c>
      <c r="L109" s="93" t="s">
        <v>61</v>
      </c>
    </row>
    <row r="110">
      <c r="A110" s="92">
        <v>109.0</v>
      </c>
      <c r="B110" s="1" t="s">
        <v>474</v>
      </c>
      <c r="C110" s="109"/>
      <c r="D110" s="98" t="s">
        <v>475</v>
      </c>
      <c r="E110" s="112"/>
      <c r="G110" s="93" t="s">
        <v>476</v>
      </c>
      <c r="H110" s="1">
        <v>15.0</v>
      </c>
      <c r="I110" s="93" t="s">
        <v>477</v>
      </c>
      <c r="J110" s="93" t="s">
        <v>478</v>
      </c>
      <c r="K110" s="42" t="s">
        <v>479</v>
      </c>
      <c r="L110" s="93" t="s">
        <v>165</v>
      </c>
    </row>
    <row r="111">
      <c r="A111" s="92">
        <v>110.0</v>
      </c>
      <c r="B111" s="1" t="s">
        <v>480</v>
      </c>
      <c r="C111" s="97" t="s">
        <v>15</v>
      </c>
      <c r="D111" s="97" t="s">
        <v>481</v>
      </c>
      <c r="E111" s="112"/>
      <c r="G111" s="93" t="s">
        <v>482</v>
      </c>
      <c r="H111" s="1">
        <v>1000.0</v>
      </c>
      <c r="I111" s="111"/>
      <c r="J111" s="93" t="s">
        <v>483</v>
      </c>
      <c r="K111" s="42" t="s">
        <v>484</v>
      </c>
      <c r="L111" s="93" t="s">
        <v>165</v>
      </c>
    </row>
    <row r="112">
      <c r="A112" s="92">
        <v>111.0</v>
      </c>
      <c r="B112" s="1" t="s">
        <v>485</v>
      </c>
      <c r="C112" s="97" t="s">
        <v>15</v>
      </c>
      <c r="D112" s="97" t="s">
        <v>486</v>
      </c>
      <c r="E112" s="112"/>
      <c r="G112" s="93" t="s">
        <v>487</v>
      </c>
      <c r="H112" s="1">
        <v>112.0</v>
      </c>
      <c r="I112" s="111"/>
      <c r="J112" s="93" t="s">
        <v>488</v>
      </c>
      <c r="K112" s="42" t="s">
        <v>489</v>
      </c>
      <c r="L112" s="93" t="s">
        <v>61</v>
      </c>
    </row>
    <row r="113">
      <c r="A113" s="92">
        <v>112.0</v>
      </c>
      <c r="B113" s="1" t="s">
        <v>490</v>
      </c>
      <c r="C113" s="109"/>
      <c r="D113" s="98" t="s">
        <v>491</v>
      </c>
      <c r="E113" s="112"/>
      <c r="G113" s="93" t="s">
        <v>492</v>
      </c>
      <c r="H113" s="1">
        <v>394.0</v>
      </c>
      <c r="I113" s="93" t="s">
        <v>493</v>
      </c>
      <c r="J113" s="93" t="s">
        <v>59</v>
      </c>
      <c r="K113" s="42" t="s">
        <v>60</v>
      </c>
      <c r="L113" s="93" t="s">
        <v>61</v>
      </c>
    </row>
    <row r="114">
      <c r="A114" s="92">
        <v>113.0</v>
      </c>
      <c r="B114" s="1" t="s">
        <v>494</v>
      </c>
      <c r="C114" s="109"/>
      <c r="D114" s="98" t="s">
        <v>495</v>
      </c>
      <c r="E114" s="112"/>
      <c r="G114" s="93" t="s">
        <v>496</v>
      </c>
      <c r="H114" s="1" t="s">
        <v>264</v>
      </c>
      <c r="I114" s="111"/>
      <c r="J114" s="93" t="s">
        <v>497</v>
      </c>
      <c r="K114" s="42" t="s">
        <v>498</v>
      </c>
      <c r="L114" s="93" t="s">
        <v>165</v>
      </c>
    </row>
    <row r="115">
      <c r="A115" s="92">
        <v>114.0</v>
      </c>
      <c r="B115" s="1" t="s">
        <v>499</v>
      </c>
      <c r="C115" s="97" t="s">
        <v>500</v>
      </c>
      <c r="D115" s="110"/>
      <c r="E115" s="112"/>
      <c r="G115" s="93" t="s">
        <v>501</v>
      </c>
      <c r="H115" s="1">
        <v>398.0</v>
      </c>
      <c r="I115" s="111"/>
      <c r="J115" s="93" t="s">
        <v>203</v>
      </c>
      <c r="K115" s="42" t="s">
        <v>60</v>
      </c>
      <c r="L115" s="93" t="s">
        <v>61</v>
      </c>
    </row>
    <row r="116">
      <c r="A116" s="92">
        <v>115.0</v>
      </c>
      <c r="B116" s="1" t="s">
        <v>502</v>
      </c>
      <c r="C116" s="109"/>
      <c r="D116" s="110"/>
      <c r="E116" s="112"/>
      <c r="G116" s="111"/>
      <c r="I116" s="111"/>
      <c r="J116" s="111"/>
      <c r="K116" s="114"/>
      <c r="L116" s="111"/>
    </row>
    <row r="117">
      <c r="A117" s="92">
        <v>116.0</v>
      </c>
      <c r="B117" s="1" t="s">
        <v>503</v>
      </c>
      <c r="C117" s="97" t="s">
        <v>504</v>
      </c>
      <c r="D117" s="110"/>
      <c r="E117" s="112"/>
      <c r="G117" s="93" t="s">
        <v>505</v>
      </c>
      <c r="I117" s="111"/>
      <c r="J117" s="111"/>
      <c r="K117" s="42" t="s">
        <v>506</v>
      </c>
      <c r="L117" s="93" t="s">
        <v>61</v>
      </c>
    </row>
    <row r="118">
      <c r="A118" s="92">
        <v>117.0</v>
      </c>
      <c r="B118" s="1" t="s">
        <v>507</v>
      </c>
      <c r="C118" s="97" t="s">
        <v>508</v>
      </c>
      <c r="D118" s="110"/>
      <c r="E118" s="112"/>
      <c r="G118" s="93" t="s">
        <v>509</v>
      </c>
      <c r="H118" s="1">
        <v>203.0</v>
      </c>
      <c r="I118" s="111"/>
      <c r="J118" s="93" t="s">
        <v>510</v>
      </c>
      <c r="K118" s="42" t="s">
        <v>60</v>
      </c>
      <c r="L118" s="93" t="s">
        <v>61</v>
      </c>
    </row>
    <row r="119">
      <c r="A119" s="92">
        <v>118.0</v>
      </c>
      <c r="B119" s="1" t="s">
        <v>511</v>
      </c>
      <c r="C119" s="109"/>
      <c r="D119" s="98" t="s">
        <v>512</v>
      </c>
      <c r="E119" s="112"/>
      <c r="G119" s="93" t="s">
        <v>513</v>
      </c>
      <c r="H119" s="1">
        <v>216.0</v>
      </c>
      <c r="I119" s="111"/>
      <c r="J119" s="93" t="s">
        <v>59</v>
      </c>
      <c r="K119" s="42" t="s">
        <v>514</v>
      </c>
      <c r="L119" s="93" t="s">
        <v>61</v>
      </c>
    </row>
    <row r="120">
      <c r="A120" s="92">
        <v>119.0</v>
      </c>
      <c r="B120" s="1" t="s">
        <v>515</v>
      </c>
      <c r="C120" s="97" t="s">
        <v>516</v>
      </c>
      <c r="D120" s="110"/>
      <c r="E120" s="112"/>
      <c r="G120" s="93" t="s">
        <v>517</v>
      </c>
      <c r="H120" s="1">
        <v>137.0</v>
      </c>
      <c r="I120" s="111"/>
      <c r="J120" s="93" t="s">
        <v>518</v>
      </c>
      <c r="K120" s="42" t="s">
        <v>60</v>
      </c>
      <c r="L120" s="93" t="s">
        <v>61</v>
      </c>
    </row>
    <row r="121">
      <c r="A121" s="92">
        <v>120.0</v>
      </c>
      <c r="B121" s="1" t="s">
        <v>519</v>
      </c>
      <c r="C121" s="97" t="s">
        <v>520</v>
      </c>
      <c r="D121" s="110"/>
      <c r="E121" s="112"/>
      <c r="G121" s="93" t="s">
        <v>521</v>
      </c>
      <c r="H121" s="1">
        <v>567.0</v>
      </c>
      <c r="I121" s="111"/>
      <c r="J121" s="93" t="s">
        <v>59</v>
      </c>
      <c r="K121" s="42" t="s">
        <v>60</v>
      </c>
      <c r="L121" s="93" t="s">
        <v>61</v>
      </c>
    </row>
    <row r="122">
      <c r="A122" s="92">
        <v>121.0</v>
      </c>
      <c r="B122" s="1" t="s">
        <v>522</v>
      </c>
      <c r="C122" s="109"/>
      <c r="D122" s="98" t="s">
        <v>523</v>
      </c>
      <c r="E122" s="112"/>
      <c r="G122" s="93" t="s">
        <v>190</v>
      </c>
      <c r="H122" s="1">
        <v>659.0</v>
      </c>
      <c r="I122" s="111"/>
      <c r="J122" s="93" t="s">
        <v>524</v>
      </c>
      <c r="K122" s="42" t="s">
        <v>60</v>
      </c>
      <c r="L122" s="93" t="s">
        <v>61</v>
      </c>
    </row>
    <row r="123">
      <c r="A123" s="92">
        <v>122.0</v>
      </c>
      <c r="B123" s="1" t="s">
        <v>525</v>
      </c>
      <c r="C123" s="109"/>
      <c r="D123" s="98" t="s">
        <v>526</v>
      </c>
      <c r="E123" s="112"/>
      <c r="G123" s="93" t="s">
        <v>107</v>
      </c>
      <c r="H123" s="1">
        <v>667.0</v>
      </c>
      <c r="I123" s="111"/>
      <c r="J123" s="93" t="s">
        <v>277</v>
      </c>
      <c r="K123" s="42" t="s">
        <v>60</v>
      </c>
      <c r="L123" s="93" t="s">
        <v>61</v>
      </c>
    </row>
    <row r="124">
      <c r="A124" s="92">
        <v>123.0</v>
      </c>
      <c r="B124" s="1" t="s">
        <v>527</v>
      </c>
      <c r="C124" s="97" t="s">
        <v>528</v>
      </c>
      <c r="D124" s="110"/>
      <c r="E124" s="112"/>
      <c r="G124" s="93" t="s">
        <v>529</v>
      </c>
      <c r="H124" s="1">
        <v>45.0</v>
      </c>
      <c r="I124" s="111"/>
      <c r="J124" s="93" t="s">
        <v>126</v>
      </c>
      <c r="K124" s="42" t="s">
        <v>60</v>
      </c>
      <c r="L124" s="93" t="s">
        <v>61</v>
      </c>
    </row>
    <row r="125">
      <c r="A125" s="92">
        <v>124.0</v>
      </c>
      <c r="B125" s="1" t="s">
        <v>530</v>
      </c>
      <c r="C125" s="109"/>
      <c r="D125" s="98" t="s">
        <v>531</v>
      </c>
      <c r="E125" s="112"/>
      <c r="G125" s="93" t="s">
        <v>115</v>
      </c>
      <c r="H125" s="1">
        <v>1845.0</v>
      </c>
      <c r="I125" s="111"/>
      <c r="J125" s="93" t="s">
        <v>59</v>
      </c>
      <c r="K125" s="42" t="s">
        <v>60</v>
      </c>
      <c r="L125" s="93" t="s">
        <v>61</v>
      </c>
    </row>
    <row r="126">
      <c r="A126" s="92">
        <v>125.0</v>
      </c>
      <c r="B126" s="1" t="s">
        <v>532</v>
      </c>
      <c r="C126" s="97" t="s">
        <v>533</v>
      </c>
      <c r="D126" s="110"/>
      <c r="E126" s="112"/>
      <c r="G126" s="93" t="s">
        <v>534</v>
      </c>
      <c r="H126" s="1">
        <v>163.0</v>
      </c>
      <c r="I126" s="93" t="s">
        <v>535</v>
      </c>
      <c r="J126" s="93" t="s">
        <v>59</v>
      </c>
      <c r="K126" s="42" t="s">
        <v>60</v>
      </c>
      <c r="L126" s="93" t="s">
        <v>61</v>
      </c>
    </row>
    <row r="127">
      <c r="A127" s="92">
        <v>126.0</v>
      </c>
      <c r="B127" s="1" t="s">
        <v>536</v>
      </c>
      <c r="C127" s="97" t="s">
        <v>537</v>
      </c>
      <c r="D127" s="110"/>
      <c r="E127" s="112"/>
      <c r="G127" s="93" t="s">
        <v>538</v>
      </c>
      <c r="H127" s="1">
        <v>29.0</v>
      </c>
      <c r="I127" s="111"/>
      <c r="J127" s="93" t="s">
        <v>539</v>
      </c>
      <c r="K127" s="42" t="s">
        <v>60</v>
      </c>
      <c r="L127" s="93" t="s">
        <v>61</v>
      </c>
    </row>
    <row r="128">
      <c r="A128" s="92">
        <v>127.0</v>
      </c>
      <c r="B128" s="1" t="s">
        <v>540</v>
      </c>
      <c r="C128" s="109"/>
      <c r="D128" s="98" t="s">
        <v>541</v>
      </c>
      <c r="E128" s="112"/>
      <c r="F128" s="1" t="s">
        <v>542</v>
      </c>
      <c r="G128" s="93" t="s">
        <v>543</v>
      </c>
      <c r="H128" s="1">
        <v>3000.0</v>
      </c>
      <c r="I128" s="111"/>
      <c r="J128" s="93"/>
      <c r="K128" s="42" t="s">
        <v>544</v>
      </c>
      <c r="L128" s="93" t="s">
        <v>165</v>
      </c>
    </row>
    <row r="129">
      <c r="A129" s="92">
        <v>128.0</v>
      </c>
      <c r="B129" s="1" t="s">
        <v>545</v>
      </c>
      <c r="C129" s="109"/>
      <c r="D129" s="98" t="s">
        <v>546</v>
      </c>
      <c r="E129" s="112"/>
      <c r="G129" s="93" t="s">
        <v>322</v>
      </c>
      <c r="H129" s="1">
        <v>2739.0</v>
      </c>
      <c r="I129" s="111"/>
      <c r="J129" s="93" t="s">
        <v>86</v>
      </c>
      <c r="K129" s="42" t="s">
        <v>60</v>
      </c>
      <c r="L129" s="93" t="s">
        <v>61</v>
      </c>
    </row>
    <row r="130">
      <c r="A130" s="92">
        <v>129.0</v>
      </c>
      <c r="B130" s="1" t="s">
        <v>547</v>
      </c>
      <c r="C130" s="109"/>
      <c r="D130" s="98" t="s">
        <v>323</v>
      </c>
      <c r="E130" s="112"/>
      <c r="G130" s="93" t="s">
        <v>319</v>
      </c>
      <c r="H130" s="1">
        <v>300.0</v>
      </c>
      <c r="I130" s="111"/>
      <c r="J130" s="93" t="s">
        <v>325</v>
      </c>
      <c r="K130" s="42" t="s">
        <v>60</v>
      </c>
      <c r="L130" s="93" t="s">
        <v>61</v>
      </c>
    </row>
    <row r="131">
      <c r="A131" s="92">
        <v>130.0</v>
      </c>
      <c r="B131" s="1" t="s">
        <v>548</v>
      </c>
      <c r="C131" s="97" t="s">
        <v>549</v>
      </c>
      <c r="D131" s="110"/>
      <c r="E131" s="112"/>
      <c r="G131" s="93" t="s">
        <v>550</v>
      </c>
      <c r="H131" s="1">
        <v>150.0</v>
      </c>
      <c r="I131" s="93" t="s">
        <v>551</v>
      </c>
      <c r="J131" s="93" t="s">
        <v>552</v>
      </c>
      <c r="K131" s="42" t="s">
        <v>60</v>
      </c>
      <c r="L131" s="93" t="s">
        <v>61</v>
      </c>
    </row>
    <row r="132">
      <c r="A132" s="92">
        <v>131.0</v>
      </c>
      <c r="B132" s="1" t="s">
        <v>553</v>
      </c>
      <c r="C132" s="109"/>
      <c r="D132" s="98" t="s">
        <v>554</v>
      </c>
      <c r="E132" s="112"/>
      <c r="G132" s="93" t="s">
        <v>555</v>
      </c>
      <c r="H132" s="1">
        <v>930.0</v>
      </c>
      <c r="I132" s="111"/>
      <c r="J132" s="93" t="s">
        <v>108</v>
      </c>
      <c r="K132" s="42" t="s">
        <v>60</v>
      </c>
      <c r="L132" s="93" t="s">
        <v>61</v>
      </c>
    </row>
    <row r="133">
      <c r="A133" s="92">
        <v>132.0</v>
      </c>
      <c r="B133" s="1" t="s">
        <v>556</v>
      </c>
      <c r="C133" s="109"/>
      <c r="D133" s="98" t="s">
        <v>557</v>
      </c>
      <c r="E133" s="112"/>
      <c r="G133" s="93" t="s">
        <v>558</v>
      </c>
      <c r="H133" s="1" t="s">
        <v>264</v>
      </c>
      <c r="I133" s="111"/>
      <c r="J133" s="93" t="s">
        <v>468</v>
      </c>
      <c r="K133" s="93" t="s">
        <v>559</v>
      </c>
      <c r="L133" s="93" t="s">
        <v>61</v>
      </c>
    </row>
    <row r="134">
      <c r="A134" s="92">
        <v>133.0</v>
      </c>
      <c r="B134" s="1" t="s">
        <v>560</v>
      </c>
      <c r="C134" s="109"/>
      <c r="D134" s="98" t="s">
        <v>323</v>
      </c>
      <c r="E134" s="112"/>
      <c r="G134" s="93" t="s">
        <v>319</v>
      </c>
      <c r="H134" s="1">
        <v>300.0</v>
      </c>
      <c r="I134" s="111"/>
      <c r="J134" s="93" t="s">
        <v>325</v>
      </c>
      <c r="K134" s="42" t="s">
        <v>60</v>
      </c>
      <c r="L134" s="93" t="s">
        <v>61</v>
      </c>
    </row>
    <row r="135">
      <c r="A135" s="92">
        <v>134.0</v>
      </c>
      <c r="B135" s="1" t="s">
        <v>561</v>
      </c>
      <c r="C135" s="109"/>
      <c r="D135" s="98" t="s">
        <v>562</v>
      </c>
      <c r="E135" s="112"/>
      <c r="G135" s="93" t="s">
        <v>563</v>
      </c>
      <c r="H135" s="1">
        <v>525.0</v>
      </c>
      <c r="I135" s="111"/>
      <c r="J135" s="93" t="s">
        <v>564</v>
      </c>
      <c r="K135" s="42" t="s">
        <v>78</v>
      </c>
      <c r="L135" s="93" t="s">
        <v>61</v>
      </c>
    </row>
    <row r="136">
      <c r="A136" s="92">
        <v>135.0</v>
      </c>
      <c r="B136" s="1" t="s">
        <v>565</v>
      </c>
      <c r="C136" s="109"/>
      <c r="D136" s="98" t="s">
        <v>566</v>
      </c>
      <c r="E136" s="112"/>
      <c r="G136" s="93" t="s">
        <v>567</v>
      </c>
      <c r="H136" s="1">
        <v>26.0</v>
      </c>
      <c r="I136" s="111"/>
      <c r="J136" s="93" t="s">
        <v>59</v>
      </c>
      <c r="K136" s="42" t="s">
        <v>60</v>
      </c>
      <c r="L136" s="93" t="s">
        <v>61</v>
      </c>
    </row>
    <row r="137">
      <c r="A137" s="92">
        <v>136.0</v>
      </c>
      <c r="B137" s="1" t="s">
        <v>568</v>
      </c>
      <c r="C137" s="97" t="s">
        <v>569</v>
      </c>
      <c r="D137" s="110"/>
      <c r="E137" s="112"/>
      <c r="G137" s="93" t="s">
        <v>570</v>
      </c>
      <c r="H137" s="1">
        <v>7.0</v>
      </c>
      <c r="I137" s="111"/>
      <c r="J137" s="111"/>
      <c r="K137" s="114"/>
      <c r="L137" s="111"/>
    </row>
    <row r="138">
      <c r="A138" s="92">
        <v>137.0</v>
      </c>
      <c r="B138" s="1" t="s">
        <v>571</v>
      </c>
      <c r="C138" s="109"/>
      <c r="D138" s="98" t="s">
        <v>572</v>
      </c>
      <c r="E138" s="112"/>
      <c r="G138" s="93" t="s">
        <v>82</v>
      </c>
      <c r="H138" s="1">
        <v>2080.0</v>
      </c>
      <c r="I138" s="93" t="s">
        <v>573</v>
      </c>
      <c r="J138" s="93" t="s">
        <v>574</v>
      </c>
      <c r="K138" s="42" t="s">
        <v>60</v>
      </c>
      <c r="L138" s="93" t="s">
        <v>61</v>
      </c>
    </row>
    <row r="139">
      <c r="A139" s="92">
        <v>138.0</v>
      </c>
      <c r="B139" s="1" t="s">
        <v>575</v>
      </c>
      <c r="C139" s="109"/>
      <c r="D139" s="98" t="s">
        <v>576</v>
      </c>
      <c r="E139" s="112"/>
      <c r="G139" s="93" t="s">
        <v>182</v>
      </c>
      <c r="H139" s="1">
        <v>2536.0</v>
      </c>
      <c r="I139" s="111"/>
      <c r="J139" s="93" t="s">
        <v>116</v>
      </c>
      <c r="K139" s="42" t="s">
        <v>60</v>
      </c>
      <c r="L139" s="93" t="s">
        <v>61</v>
      </c>
    </row>
    <row r="140">
      <c r="A140" s="92">
        <v>139.0</v>
      </c>
      <c r="B140" s="1" t="s">
        <v>577</v>
      </c>
      <c r="C140" s="109"/>
      <c r="D140" s="98">
        <v>3.454572000139E12</v>
      </c>
      <c r="E140" s="112"/>
      <c r="G140" s="93" t="s">
        <v>578</v>
      </c>
      <c r="H140" s="1">
        <v>687.0</v>
      </c>
      <c r="I140" s="111"/>
      <c r="J140" s="93" t="s">
        <v>59</v>
      </c>
      <c r="K140" s="42" t="s">
        <v>60</v>
      </c>
      <c r="L140" s="93" t="s">
        <v>61</v>
      </c>
    </row>
    <row r="141">
      <c r="A141" s="92">
        <v>140.0</v>
      </c>
      <c r="B141" s="1" t="s">
        <v>579</v>
      </c>
      <c r="C141" s="109"/>
      <c r="D141" s="98">
        <v>8.769330000158E12</v>
      </c>
      <c r="E141" s="112"/>
      <c r="G141" s="93" t="s">
        <v>580</v>
      </c>
      <c r="H141" s="1">
        <v>680.0</v>
      </c>
      <c r="I141" s="111"/>
      <c r="J141" s="93" t="s">
        <v>59</v>
      </c>
      <c r="K141" s="42" t="s">
        <v>60</v>
      </c>
      <c r="L141" s="93" t="s">
        <v>61</v>
      </c>
    </row>
    <row r="142">
      <c r="A142" s="92">
        <v>141.0</v>
      </c>
      <c r="B142" s="1" t="s">
        <v>581</v>
      </c>
      <c r="C142" s="109"/>
      <c r="D142" s="98" t="s">
        <v>582</v>
      </c>
      <c r="E142" s="112"/>
      <c r="G142" s="93" t="s">
        <v>583</v>
      </c>
      <c r="H142" s="1">
        <v>600.0</v>
      </c>
      <c r="I142" s="111"/>
      <c r="J142" s="93" t="s">
        <v>584</v>
      </c>
      <c r="K142" s="42" t="s">
        <v>60</v>
      </c>
      <c r="L142" s="93" t="s">
        <v>61</v>
      </c>
    </row>
    <row r="143">
      <c r="A143" s="92">
        <v>142.0</v>
      </c>
      <c r="B143" s="1" t="s">
        <v>585</v>
      </c>
      <c r="C143" s="109"/>
      <c r="D143" s="98" t="s">
        <v>586</v>
      </c>
      <c r="E143" s="112"/>
      <c r="G143" s="93" t="s">
        <v>190</v>
      </c>
      <c r="H143" s="1">
        <v>440.0</v>
      </c>
      <c r="I143" s="111"/>
      <c r="J143" s="111"/>
      <c r="K143" s="42" t="s">
        <v>60</v>
      </c>
      <c r="L143" s="93" t="s">
        <v>61</v>
      </c>
    </row>
    <row r="144">
      <c r="A144" s="92">
        <v>143.0</v>
      </c>
      <c r="B144" s="1" t="s">
        <v>587</v>
      </c>
      <c r="C144" s="109"/>
      <c r="D144" s="98" t="s">
        <v>588</v>
      </c>
      <c r="E144" s="112"/>
      <c r="G144" s="93" t="s">
        <v>567</v>
      </c>
      <c r="H144" s="1">
        <v>339.0</v>
      </c>
      <c r="I144" s="93" t="s">
        <v>589</v>
      </c>
      <c r="J144" s="93" t="s">
        <v>59</v>
      </c>
      <c r="K144" s="42" t="s">
        <v>60</v>
      </c>
      <c r="L144" s="93" t="s">
        <v>61</v>
      </c>
    </row>
    <row r="145">
      <c r="A145" s="92">
        <v>144.0</v>
      </c>
      <c r="B145" s="1" t="s">
        <v>590</v>
      </c>
      <c r="C145" s="109"/>
      <c r="D145" s="98" t="s">
        <v>591</v>
      </c>
      <c r="E145" s="112"/>
      <c r="G145" s="93" t="s">
        <v>592</v>
      </c>
      <c r="H145" s="1">
        <v>198.0</v>
      </c>
      <c r="I145" s="111"/>
      <c r="J145" s="93" t="s">
        <v>108</v>
      </c>
      <c r="K145" s="42" t="s">
        <v>60</v>
      </c>
      <c r="L145" s="93" t="s">
        <v>61</v>
      </c>
    </row>
    <row r="146">
      <c r="A146" s="92">
        <v>145.0</v>
      </c>
      <c r="B146" s="1" t="s">
        <v>593</v>
      </c>
      <c r="C146" s="109"/>
      <c r="D146" s="98" t="s">
        <v>594</v>
      </c>
      <c r="E146" s="112"/>
      <c r="G146" s="93" t="s">
        <v>190</v>
      </c>
      <c r="H146" s="1">
        <v>995.0</v>
      </c>
      <c r="I146" s="111"/>
      <c r="J146" s="93" t="s">
        <v>191</v>
      </c>
      <c r="K146" s="42" t="s">
        <v>60</v>
      </c>
      <c r="L146" s="93" t="s">
        <v>61</v>
      </c>
    </row>
    <row r="147">
      <c r="A147" s="92">
        <v>146.0</v>
      </c>
      <c r="B147" s="1" t="s">
        <v>595</v>
      </c>
      <c r="C147" s="109"/>
      <c r="D147" s="98" t="s">
        <v>596</v>
      </c>
      <c r="E147" s="112"/>
      <c r="G147" s="93" t="s">
        <v>597</v>
      </c>
      <c r="I147" s="111"/>
      <c r="J147" s="111"/>
      <c r="K147" s="42" t="s">
        <v>60</v>
      </c>
      <c r="L147" s="93" t="s">
        <v>61</v>
      </c>
    </row>
    <row r="148">
      <c r="A148" s="92">
        <v>147.0</v>
      </c>
      <c r="B148" s="1" t="s">
        <v>598</v>
      </c>
      <c r="C148" s="109"/>
      <c r="D148" s="98" t="s">
        <v>599</v>
      </c>
      <c r="E148" s="112"/>
      <c r="G148" s="93" t="s">
        <v>600</v>
      </c>
      <c r="H148" s="1">
        <v>3200.0</v>
      </c>
      <c r="I148" s="111"/>
      <c r="J148" s="93" t="s">
        <v>64</v>
      </c>
      <c r="K148" s="42" t="s">
        <v>60</v>
      </c>
      <c r="L148" s="93" t="s">
        <v>61</v>
      </c>
    </row>
    <row r="149">
      <c r="A149" s="92">
        <v>148.0</v>
      </c>
      <c r="B149" s="1" t="s">
        <v>601</v>
      </c>
      <c r="C149" s="97" t="s">
        <v>602</v>
      </c>
      <c r="D149" s="110"/>
      <c r="E149" s="112"/>
      <c r="G149" s="93" t="s">
        <v>603</v>
      </c>
      <c r="I149" s="111"/>
      <c r="J149" s="93" t="s">
        <v>277</v>
      </c>
      <c r="K149" s="42" t="s">
        <v>60</v>
      </c>
      <c r="L149" s="93" t="s">
        <v>61</v>
      </c>
    </row>
    <row r="150">
      <c r="A150" s="92">
        <v>149.0</v>
      </c>
      <c r="B150" s="1" t="s">
        <v>604</v>
      </c>
      <c r="C150" s="109"/>
      <c r="D150" s="98" t="s">
        <v>605</v>
      </c>
      <c r="E150" s="112"/>
      <c r="G150" s="93" t="s">
        <v>606</v>
      </c>
      <c r="I150" s="111"/>
      <c r="J150" s="93" t="s">
        <v>607</v>
      </c>
      <c r="K150" s="42" t="s">
        <v>60</v>
      </c>
      <c r="L150" s="93" t="s">
        <v>61</v>
      </c>
    </row>
    <row r="151">
      <c r="A151" s="92">
        <v>150.0</v>
      </c>
      <c r="B151" s="1" t="s">
        <v>608</v>
      </c>
      <c r="C151" s="109"/>
      <c r="D151" s="98" t="s">
        <v>609</v>
      </c>
      <c r="E151" s="112"/>
      <c r="G151" s="93" t="s">
        <v>610</v>
      </c>
      <c r="I151" s="93" t="s">
        <v>611</v>
      </c>
      <c r="J151" s="93" t="s">
        <v>612</v>
      </c>
      <c r="K151" s="42" t="s">
        <v>613</v>
      </c>
      <c r="L151" s="93" t="s">
        <v>614</v>
      </c>
    </row>
    <row r="152">
      <c r="A152" s="92">
        <v>151.0</v>
      </c>
      <c r="B152" s="1" t="s">
        <v>615</v>
      </c>
      <c r="C152" s="97" t="s">
        <v>616</v>
      </c>
      <c r="D152" s="110"/>
      <c r="E152" s="112"/>
      <c r="G152" s="93" t="s">
        <v>617</v>
      </c>
      <c r="H152" s="1">
        <v>339.0</v>
      </c>
      <c r="I152" s="111"/>
      <c r="J152" s="111"/>
      <c r="K152" s="42" t="s">
        <v>60</v>
      </c>
      <c r="L152" s="93" t="s">
        <v>61</v>
      </c>
    </row>
    <row r="153">
      <c r="A153" s="92">
        <v>152.0</v>
      </c>
      <c r="B153" s="1" t="s">
        <v>618</v>
      </c>
      <c r="C153" s="109"/>
      <c r="D153" s="98" t="s">
        <v>619</v>
      </c>
      <c r="E153" s="112"/>
      <c r="G153" s="93" t="s">
        <v>322</v>
      </c>
      <c r="H153" s="1">
        <v>3256.0</v>
      </c>
      <c r="I153" s="111"/>
      <c r="J153" s="93" t="s">
        <v>86</v>
      </c>
      <c r="K153" s="42" t="s">
        <v>60</v>
      </c>
      <c r="L153" s="93" t="s">
        <v>61</v>
      </c>
    </row>
    <row r="154">
      <c r="A154" s="92">
        <v>153.0</v>
      </c>
      <c r="B154" s="1" t="s">
        <v>620</v>
      </c>
      <c r="C154" s="109"/>
      <c r="D154" s="98" t="s">
        <v>621</v>
      </c>
      <c r="E154" s="112"/>
      <c r="G154" s="93" t="s">
        <v>322</v>
      </c>
      <c r="H154" s="1">
        <v>965.0</v>
      </c>
      <c r="I154" s="111"/>
      <c r="J154" s="93" t="s">
        <v>86</v>
      </c>
      <c r="K154" s="42" t="s">
        <v>60</v>
      </c>
      <c r="L154" s="93" t="s">
        <v>61</v>
      </c>
    </row>
    <row r="155">
      <c r="A155" s="92">
        <v>154.0</v>
      </c>
      <c r="B155" s="1" t="s">
        <v>622</v>
      </c>
      <c r="C155" s="109"/>
      <c r="D155" s="98" t="s">
        <v>623</v>
      </c>
      <c r="E155" s="112"/>
      <c r="G155" s="93" t="s">
        <v>624</v>
      </c>
      <c r="H155" s="1">
        <v>373.0</v>
      </c>
      <c r="I155" s="111"/>
      <c r="J155" s="93" t="s">
        <v>625</v>
      </c>
      <c r="K155" s="42" t="s">
        <v>60</v>
      </c>
      <c r="L155" s="93" t="s">
        <v>61</v>
      </c>
    </row>
    <row r="156">
      <c r="A156" s="92">
        <v>155.0</v>
      </c>
      <c r="B156" s="1" t="s">
        <v>626</v>
      </c>
      <c r="C156" s="109"/>
      <c r="D156" s="98" t="s">
        <v>627</v>
      </c>
      <c r="E156" s="112"/>
      <c r="G156" s="93" t="s">
        <v>628</v>
      </c>
      <c r="H156" s="1">
        <v>370.0</v>
      </c>
      <c r="I156" s="111"/>
      <c r="J156" s="93" t="s">
        <v>629</v>
      </c>
      <c r="K156" s="42" t="s">
        <v>630</v>
      </c>
      <c r="L156" s="93" t="s">
        <v>165</v>
      </c>
    </row>
    <row r="157">
      <c r="A157" s="92">
        <v>156.0</v>
      </c>
      <c r="B157" s="1" t="s">
        <v>631</v>
      </c>
      <c r="C157" s="109"/>
      <c r="D157" s="98" t="s">
        <v>632</v>
      </c>
      <c r="E157" s="112"/>
      <c r="G157" s="93" t="s">
        <v>633</v>
      </c>
      <c r="H157" s="1">
        <v>484.0</v>
      </c>
      <c r="I157" s="93" t="s">
        <v>634</v>
      </c>
      <c r="J157" s="93" t="s">
        <v>59</v>
      </c>
      <c r="K157" s="42" t="s">
        <v>60</v>
      </c>
      <c r="L157" s="93" t="s">
        <v>61</v>
      </c>
    </row>
    <row r="158">
      <c r="A158" s="92">
        <v>157.0</v>
      </c>
      <c r="B158" s="1" t="s">
        <v>635</v>
      </c>
      <c r="C158" s="109"/>
      <c r="D158" s="98" t="s">
        <v>636</v>
      </c>
      <c r="E158" s="112"/>
      <c r="G158" s="93" t="s">
        <v>637</v>
      </c>
      <c r="H158" s="1">
        <v>2474.0</v>
      </c>
      <c r="I158" s="111"/>
      <c r="J158" s="93" t="s">
        <v>638</v>
      </c>
      <c r="K158" s="42" t="s">
        <v>60</v>
      </c>
      <c r="L158" s="93" t="s">
        <v>61</v>
      </c>
    </row>
    <row r="159">
      <c r="A159" s="92">
        <v>158.0</v>
      </c>
      <c r="B159" s="1" t="s">
        <v>639</v>
      </c>
      <c r="C159" s="109"/>
      <c r="D159" s="98" t="s">
        <v>640</v>
      </c>
      <c r="E159" s="112"/>
      <c r="G159" s="93" t="s">
        <v>641</v>
      </c>
      <c r="H159" s="1">
        <v>50.0</v>
      </c>
      <c r="I159" s="111"/>
      <c r="J159" s="93" t="s">
        <v>642</v>
      </c>
      <c r="K159" s="42" t="s">
        <v>60</v>
      </c>
      <c r="L159" s="93" t="s">
        <v>61</v>
      </c>
    </row>
    <row r="160">
      <c r="A160" s="92">
        <v>159.0</v>
      </c>
      <c r="B160" s="1" t="s">
        <v>643</v>
      </c>
      <c r="C160" s="109"/>
      <c r="D160" s="98" t="s">
        <v>644</v>
      </c>
      <c r="E160" s="112"/>
      <c r="G160" s="93" t="s">
        <v>645</v>
      </c>
      <c r="H160" s="1">
        <v>985.0</v>
      </c>
      <c r="I160" s="93" t="s">
        <v>646</v>
      </c>
      <c r="J160" s="93" t="s">
        <v>126</v>
      </c>
      <c r="K160" s="42" t="s">
        <v>60</v>
      </c>
      <c r="L160" s="93" t="s">
        <v>61</v>
      </c>
    </row>
    <row r="161">
      <c r="A161" s="92">
        <v>160.0</v>
      </c>
      <c r="B161" s="1" t="s">
        <v>647</v>
      </c>
      <c r="C161" s="109"/>
      <c r="D161" s="98" t="s">
        <v>648</v>
      </c>
      <c r="E161" s="112"/>
      <c r="G161" s="93" t="s">
        <v>222</v>
      </c>
      <c r="H161" s="1">
        <v>4370.0</v>
      </c>
      <c r="I161" s="111"/>
      <c r="J161" s="93" t="s">
        <v>649</v>
      </c>
      <c r="K161" s="42" t="s">
        <v>60</v>
      </c>
      <c r="L161" s="93" t="s">
        <v>61</v>
      </c>
    </row>
    <row r="162">
      <c r="A162" s="92">
        <v>161.0</v>
      </c>
      <c r="B162" s="1" t="s">
        <v>650</v>
      </c>
      <c r="C162" s="97" t="s">
        <v>651</v>
      </c>
      <c r="D162" s="110"/>
      <c r="E162" s="112"/>
      <c r="G162" s="93" t="s">
        <v>70</v>
      </c>
      <c r="H162" s="1">
        <v>330.0</v>
      </c>
      <c r="I162" s="111"/>
      <c r="J162" s="93" t="s">
        <v>652</v>
      </c>
      <c r="K162" s="42" t="s">
        <v>60</v>
      </c>
      <c r="L162" s="93" t="s">
        <v>61</v>
      </c>
    </row>
    <row r="163">
      <c r="A163" s="92">
        <v>162.0</v>
      </c>
      <c r="B163" s="1" t="s">
        <v>653</v>
      </c>
      <c r="C163" s="109"/>
      <c r="D163" s="98" t="s">
        <v>654</v>
      </c>
      <c r="E163" s="112"/>
      <c r="G163" s="93" t="s">
        <v>655</v>
      </c>
      <c r="H163" s="1">
        <v>1021.0</v>
      </c>
      <c r="I163" s="111"/>
      <c r="J163" s="93" t="s">
        <v>656</v>
      </c>
      <c r="K163" s="42" t="s">
        <v>368</v>
      </c>
      <c r="L163" s="93" t="s">
        <v>61</v>
      </c>
    </row>
    <row r="164">
      <c r="A164" s="92">
        <v>163.0</v>
      </c>
      <c r="B164" s="1" t="s">
        <v>657</v>
      </c>
      <c r="C164" s="109"/>
      <c r="D164" s="110"/>
      <c r="E164" s="112"/>
      <c r="G164" s="93" t="s">
        <v>658</v>
      </c>
      <c r="I164" s="111"/>
      <c r="J164" s="93" t="s">
        <v>659</v>
      </c>
      <c r="K164" s="42" t="s">
        <v>60</v>
      </c>
      <c r="L164" s="93" t="s">
        <v>61</v>
      </c>
    </row>
    <row r="165">
      <c r="A165" s="92">
        <v>164.0</v>
      </c>
      <c r="B165" s="1" t="s">
        <v>660</v>
      </c>
      <c r="C165" s="109"/>
      <c r="D165" s="98" t="s">
        <v>661</v>
      </c>
      <c r="E165" s="112"/>
      <c r="G165" s="93" t="s">
        <v>662</v>
      </c>
      <c r="H165" s="1">
        <v>420.0</v>
      </c>
      <c r="I165" s="111"/>
      <c r="J165" s="111"/>
      <c r="K165" s="42" t="s">
        <v>380</v>
      </c>
      <c r="L165" s="93" t="s">
        <v>61</v>
      </c>
    </row>
    <row r="166">
      <c r="A166" s="92">
        <v>165.0</v>
      </c>
      <c r="B166" s="1" t="s">
        <v>581</v>
      </c>
      <c r="C166" s="109"/>
      <c r="D166" s="98" t="s">
        <v>663</v>
      </c>
      <c r="E166" s="112"/>
      <c r="G166" s="93" t="s">
        <v>222</v>
      </c>
      <c r="H166" s="1">
        <v>4386.0</v>
      </c>
      <c r="I166" s="111"/>
      <c r="J166" s="93" t="s">
        <v>664</v>
      </c>
      <c r="K166" s="42" t="s">
        <v>60</v>
      </c>
      <c r="L166" s="93" t="s">
        <v>61</v>
      </c>
    </row>
    <row r="167">
      <c r="A167" s="92">
        <v>166.0</v>
      </c>
      <c r="B167" s="1" t="s">
        <v>665</v>
      </c>
      <c r="C167" s="109"/>
      <c r="D167" s="98" t="s">
        <v>666</v>
      </c>
      <c r="E167" s="112"/>
      <c r="G167" s="93" t="s">
        <v>667</v>
      </c>
      <c r="H167" s="1">
        <v>2020.0</v>
      </c>
      <c r="I167" s="111"/>
      <c r="J167" s="111"/>
      <c r="K167" s="42" t="s">
        <v>60</v>
      </c>
      <c r="L167" s="93" t="s">
        <v>61</v>
      </c>
    </row>
    <row r="168">
      <c r="A168" s="92">
        <v>167.0</v>
      </c>
      <c r="B168" s="1" t="s">
        <v>668</v>
      </c>
      <c r="C168" s="97" t="s">
        <v>669</v>
      </c>
      <c r="D168" s="110"/>
      <c r="E168" s="112"/>
      <c r="G168" s="93" t="s">
        <v>670</v>
      </c>
      <c r="H168" s="1">
        <v>57.0</v>
      </c>
      <c r="I168" s="111"/>
      <c r="J168" s="93" t="s">
        <v>126</v>
      </c>
      <c r="K168" s="42" t="s">
        <v>613</v>
      </c>
      <c r="L168" s="93" t="s">
        <v>61</v>
      </c>
    </row>
    <row r="169">
      <c r="A169" s="92">
        <v>168.0</v>
      </c>
      <c r="B169" s="1" t="s">
        <v>671</v>
      </c>
      <c r="C169" s="109"/>
      <c r="D169" s="98" t="s">
        <v>672</v>
      </c>
      <c r="E169" s="112"/>
      <c r="G169" s="93" t="s">
        <v>673</v>
      </c>
      <c r="H169" s="1">
        <v>50.0</v>
      </c>
      <c r="I169" s="111"/>
      <c r="J169" s="93" t="s">
        <v>277</v>
      </c>
      <c r="K169" s="42" t="s">
        <v>60</v>
      </c>
      <c r="L169" s="93" t="s">
        <v>61</v>
      </c>
    </row>
    <row r="170">
      <c r="A170" s="92">
        <v>169.0</v>
      </c>
      <c r="B170" s="1" t="s">
        <v>674</v>
      </c>
      <c r="C170" s="97" t="s">
        <v>675</v>
      </c>
      <c r="D170" s="110"/>
      <c r="E170" s="112"/>
      <c r="G170" s="93" t="s">
        <v>676</v>
      </c>
      <c r="I170" s="111"/>
      <c r="J170" s="93" t="s">
        <v>468</v>
      </c>
      <c r="K170" s="42" t="s">
        <v>60</v>
      </c>
      <c r="L170" s="93" t="s">
        <v>61</v>
      </c>
    </row>
    <row r="171">
      <c r="A171" s="92">
        <v>170.0</v>
      </c>
      <c r="B171" s="1" t="s">
        <v>677</v>
      </c>
      <c r="C171" s="109"/>
      <c r="D171" s="98" t="s">
        <v>678</v>
      </c>
      <c r="E171" s="112"/>
      <c r="G171" s="93" t="s">
        <v>679</v>
      </c>
      <c r="H171" s="1">
        <v>114.0</v>
      </c>
      <c r="I171" s="111"/>
      <c r="J171" s="93" t="s">
        <v>680</v>
      </c>
      <c r="K171" s="42" t="s">
        <v>60</v>
      </c>
      <c r="L171" s="93" t="s">
        <v>61</v>
      </c>
    </row>
    <row r="172">
      <c r="A172" s="92">
        <v>171.0</v>
      </c>
      <c r="B172" s="1" t="s">
        <v>681</v>
      </c>
      <c r="C172" s="109"/>
      <c r="D172" s="98" t="s">
        <v>682</v>
      </c>
      <c r="E172" s="112"/>
      <c r="G172" s="93" t="s">
        <v>683</v>
      </c>
      <c r="H172" s="1">
        <v>0.0</v>
      </c>
      <c r="I172" s="111"/>
      <c r="J172" s="111"/>
      <c r="K172" s="42" t="s">
        <v>60</v>
      </c>
      <c r="L172" s="93" t="s">
        <v>61</v>
      </c>
    </row>
    <row r="173">
      <c r="A173" s="92">
        <v>172.0</v>
      </c>
      <c r="B173" s="1" t="s">
        <v>684</v>
      </c>
      <c r="C173" s="109"/>
      <c r="D173" s="98" t="s">
        <v>685</v>
      </c>
      <c r="E173" s="112"/>
      <c r="G173" s="93" t="s">
        <v>686</v>
      </c>
      <c r="H173" s="1">
        <v>305.0</v>
      </c>
      <c r="I173" s="93" t="s">
        <v>687</v>
      </c>
      <c r="J173" s="93" t="s">
        <v>59</v>
      </c>
      <c r="K173" s="42" t="s">
        <v>60</v>
      </c>
      <c r="L173" s="93" t="s">
        <v>61</v>
      </c>
    </row>
    <row r="174">
      <c r="A174" s="92">
        <v>173.0</v>
      </c>
      <c r="B174" s="1" t="s">
        <v>688</v>
      </c>
      <c r="C174" s="97" t="s">
        <v>689</v>
      </c>
      <c r="D174" s="110"/>
      <c r="E174" s="112"/>
      <c r="G174" s="93" t="s">
        <v>690</v>
      </c>
      <c r="H174" s="1">
        <v>570.0</v>
      </c>
      <c r="I174" s="111"/>
      <c r="J174" s="93" t="s">
        <v>116</v>
      </c>
      <c r="K174" s="42" t="s">
        <v>60</v>
      </c>
      <c r="L174" s="93" t="s">
        <v>61</v>
      </c>
    </row>
    <row r="175">
      <c r="A175" s="92">
        <v>174.0</v>
      </c>
      <c r="B175" s="1" t="s">
        <v>691</v>
      </c>
      <c r="C175" s="97" t="s">
        <v>692</v>
      </c>
      <c r="D175" s="110"/>
      <c r="E175" s="112"/>
      <c r="G175" s="93" t="s">
        <v>693</v>
      </c>
      <c r="H175" s="1">
        <v>122.0</v>
      </c>
      <c r="I175" s="111"/>
      <c r="J175" s="93" t="s">
        <v>59</v>
      </c>
      <c r="K175" s="42" t="s">
        <v>60</v>
      </c>
      <c r="L175" s="93" t="s">
        <v>61</v>
      </c>
    </row>
    <row r="176">
      <c r="A176" s="92">
        <v>175.0</v>
      </c>
      <c r="B176" s="1" t="s">
        <v>694</v>
      </c>
      <c r="C176" s="109"/>
      <c r="D176" s="98" t="s">
        <v>695</v>
      </c>
      <c r="E176" s="112"/>
      <c r="G176" s="93" t="s">
        <v>501</v>
      </c>
      <c r="H176" s="1">
        <v>487.0</v>
      </c>
      <c r="I176" s="111"/>
      <c r="J176" s="93" t="s">
        <v>203</v>
      </c>
      <c r="K176" s="42" t="s">
        <v>60</v>
      </c>
      <c r="L176" s="93" t="s">
        <v>61</v>
      </c>
    </row>
    <row r="177">
      <c r="A177" s="92">
        <v>176.0</v>
      </c>
      <c r="B177" s="1" t="s">
        <v>696</v>
      </c>
      <c r="C177" s="109"/>
      <c r="D177" s="98" t="s">
        <v>697</v>
      </c>
      <c r="E177" s="112"/>
      <c r="G177" s="93" t="s">
        <v>698</v>
      </c>
      <c r="H177" s="1">
        <v>1275.0</v>
      </c>
      <c r="I177" s="111"/>
      <c r="J177" s="93" t="s">
        <v>59</v>
      </c>
      <c r="K177" s="42" t="s">
        <v>60</v>
      </c>
      <c r="L177" s="93" t="s">
        <v>61</v>
      </c>
    </row>
    <row r="178">
      <c r="A178" s="92">
        <v>177.0</v>
      </c>
      <c r="B178" s="1" t="s">
        <v>699</v>
      </c>
      <c r="C178" s="97">
        <v>1.6330280894E10</v>
      </c>
      <c r="D178" s="110"/>
      <c r="E178" s="112"/>
      <c r="G178" s="93" t="s">
        <v>700</v>
      </c>
      <c r="H178" s="1">
        <v>151.0</v>
      </c>
      <c r="I178" s="111"/>
      <c r="J178" s="111"/>
      <c r="K178" s="42" t="s">
        <v>701</v>
      </c>
      <c r="L178" s="93" t="s">
        <v>61</v>
      </c>
    </row>
    <row r="179">
      <c r="A179" s="92">
        <v>178.0</v>
      </c>
      <c r="B179" s="1" t="s">
        <v>702</v>
      </c>
      <c r="C179" s="109"/>
      <c r="D179" s="98" t="s">
        <v>703</v>
      </c>
      <c r="E179" s="112"/>
      <c r="G179" s="93" t="s">
        <v>704</v>
      </c>
      <c r="H179" s="1">
        <v>1128.0</v>
      </c>
      <c r="I179" s="111"/>
      <c r="J179" s="93" t="s">
        <v>705</v>
      </c>
      <c r="K179" s="42" t="s">
        <v>706</v>
      </c>
      <c r="L179" s="93" t="s">
        <v>61</v>
      </c>
    </row>
    <row r="180">
      <c r="A180" s="92">
        <v>179.0</v>
      </c>
      <c r="B180" s="1" t="s">
        <v>707</v>
      </c>
      <c r="C180" s="97" t="s">
        <v>708</v>
      </c>
      <c r="D180" s="110"/>
      <c r="E180" s="112"/>
      <c r="G180" s="93" t="s">
        <v>709</v>
      </c>
      <c r="I180" s="111"/>
      <c r="J180" s="111"/>
      <c r="K180" s="42" t="s">
        <v>60</v>
      </c>
      <c r="L180" s="93" t="s">
        <v>61</v>
      </c>
    </row>
    <row r="181">
      <c r="A181" s="92">
        <v>180.0</v>
      </c>
      <c r="B181" s="1" t="s">
        <v>710</v>
      </c>
      <c r="C181" s="97">
        <v>8.4288647649E10</v>
      </c>
      <c r="D181" s="110"/>
      <c r="E181" s="112"/>
      <c r="G181" s="93" t="s">
        <v>711</v>
      </c>
      <c r="H181" s="1">
        <v>448.0</v>
      </c>
      <c r="I181" s="111"/>
      <c r="J181" s="93" t="s">
        <v>712</v>
      </c>
      <c r="K181" s="42" t="s">
        <v>701</v>
      </c>
      <c r="L181" s="93" t="s">
        <v>61</v>
      </c>
    </row>
    <row r="182">
      <c r="A182" s="92">
        <v>181.0</v>
      </c>
      <c r="B182" s="1" t="s">
        <v>713</v>
      </c>
      <c r="C182" s="97" t="s">
        <v>714</v>
      </c>
      <c r="D182" s="110"/>
      <c r="E182" s="112"/>
      <c r="G182" s="93" t="s">
        <v>715</v>
      </c>
      <c r="H182" s="1">
        <v>232.0</v>
      </c>
      <c r="I182" s="111"/>
      <c r="J182" s="93" t="s">
        <v>712</v>
      </c>
      <c r="K182" s="42" t="s">
        <v>60</v>
      </c>
      <c r="L182" s="93" t="s">
        <v>61</v>
      </c>
    </row>
    <row r="183">
      <c r="A183" s="92">
        <v>182.0</v>
      </c>
      <c r="B183" s="1" t="s">
        <v>716</v>
      </c>
      <c r="C183" s="97" t="s">
        <v>717</v>
      </c>
      <c r="D183" s="110"/>
      <c r="E183" s="112"/>
      <c r="G183" s="93" t="s">
        <v>718</v>
      </c>
      <c r="H183" s="1">
        <v>81.0</v>
      </c>
      <c r="I183" s="111"/>
      <c r="J183" s="93" t="s">
        <v>719</v>
      </c>
      <c r="K183" s="42" t="s">
        <v>60</v>
      </c>
      <c r="L183" s="93" t="s">
        <v>61</v>
      </c>
    </row>
    <row r="184">
      <c r="A184" s="92">
        <v>183.0</v>
      </c>
      <c r="B184" s="1" t="s">
        <v>720</v>
      </c>
      <c r="C184" s="109"/>
      <c r="D184" s="98" t="s">
        <v>721</v>
      </c>
      <c r="E184" s="112"/>
      <c r="G184" s="1" t="s">
        <v>722</v>
      </c>
      <c r="H184" s="1">
        <v>31.0</v>
      </c>
      <c r="I184" s="111"/>
      <c r="J184" s="93" t="s">
        <v>723</v>
      </c>
      <c r="K184" s="42" t="s">
        <v>724</v>
      </c>
      <c r="L184" s="93" t="s">
        <v>61</v>
      </c>
    </row>
    <row r="185">
      <c r="A185" s="92">
        <v>184.0</v>
      </c>
      <c r="B185" s="1" t="s">
        <v>725</v>
      </c>
      <c r="C185" s="109"/>
      <c r="D185" s="98" t="s">
        <v>726</v>
      </c>
      <c r="E185" s="112"/>
      <c r="G185" s="93" t="s">
        <v>322</v>
      </c>
      <c r="H185" s="1">
        <v>775.0</v>
      </c>
      <c r="I185" s="111"/>
      <c r="J185" s="93" t="s">
        <v>86</v>
      </c>
      <c r="K185" s="42" t="s">
        <v>60</v>
      </c>
      <c r="L185" s="93" t="s">
        <v>61</v>
      </c>
    </row>
    <row r="186">
      <c r="A186" s="92">
        <v>185.0</v>
      </c>
      <c r="B186" s="1" t="s">
        <v>727</v>
      </c>
      <c r="C186" s="109"/>
      <c r="D186" s="98" t="s">
        <v>728</v>
      </c>
      <c r="E186" s="112"/>
      <c r="G186" s="93" t="s">
        <v>729</v>
      </c>
      <c r="H186" s="1" t="s">
        <v>730</v>
      </c>
      <c r="I186" s="111"/>
      <c r="J186" s="93" t="s">
        <v>731</v>
      </c>
      <c r="K186" s="42" t="s">
        <v>60</v>
      </c>
      <c r="L186" s="93" t="s">
        <v>61</v>
      </c>
    </row>
    <row r="187">
      <c r="A187" s="92">
        <v>186.0</v>
      </c>
      <c r="B187" s="1" t="s">
        <v>732</v>
      </c>
      <c r="C187" s="109"/>
      <c r="D187" s="98" t="s">
        <v>733</v>
      </c>
      <c r="E187" s="112"/>
      <c r="G187" s="93" t="s">
        <v>182</v>
      </c>
      <c r="H187" s="1">
        <v>1865.0</v>
      </c>
      <c r="I187" s="111"/>
      <c r="J187" s="93" t="s">
        <v>116</v>
      </c>
      <c r="K187" s="42" t="s">
        <v>60</v>
      </c>
      <c r="L187" s="93" t="s">
        <v>61</v>
      </c>
    </row>
    <row r="188">
      <c r="A188" s="92">
        <v>187.0</v>
      </c>
      <c r="B188" s="1" t="s">
        <v>716</v>
      </c>
      <c r="C188" s="97" t="s">
        <v>717</v>
      </c>
      <c r="D188" s="110"/>
      <c r="E188" s="112"/>
      <c r="G188" s="93" t="s">
        <v>734</v>
      </c>
      <c r="H188" s="1">
        <v>29.0</v>
      </c>
      <c r="I188" s="111"/>
      <c r="J188" s="93" t="s">
        <v>735</v>
      </c>
      <c r="K188" s="42" t="s">
        <v>60</v>
      </c>
      <c r="L188" s="93" t="s">
        <v>61</v>
      </c>
      <c r="M188" s="1" t="s">
        <v>15</v>
      </c>
    </row>
    <row r="189">
      <c r="A189" s="92">
        <v>188.0</v>
      </c>
      <c r="B189" s="1" t="s">
        <v>736</v>
      </c>
      <c r="C189" s="109"/>
      <c r="D189" s="98" t="s">
        <v>737</v>
      </c>
      <c r="E189" s="112"/>
      <c r="G189" s="93" t="s">
        <v>115</v>
      </c>
      <c r="H189" s="1">
        <v>2383.0</v>
      </c>
      <c r="I189" s="111"/>
      <c r="J189" s="93" t="s">
        <v>116</v>
      </c>
      <c r="K189" s="42" t="s">
        <v>60</v>
      </c>
      <c r="L189" s="93" t="s">
        <v>61</v>
      </c>
    </row>
    <row r="190">
      <c r="A190" s="92">
        <v>189.0</v>
      </c>
      <c r="B190" s="1" t="s">
        <v>738</v>
      </c>
      <c r="C190" s="109"/>
      <c r="D190" s="98" t="s">
        <v>739</v>
      </c>
      <c r="E190" s="112"/>
      <c r="G190" s="93" t="s">
        <v>740</v>
      </c>
      <c r="H190" s="1">
        <v>204.0</v>
      </c>
      <c r="I190" s="111"/>
      <c r="J190" s="93" t="s">
        <v>59</v>
      </c>
      <c r="K190" s="42" t="s">
        <v>60</v>
      </c>
      <c r="L190" s="93" t="s">
        <v>61</v>
      </c>
    </row>
    <row r="191">
      <c r="A191" s="92">
        <v>190.0</v>
      </c>
      <c r="B191" s="1" t="s">
        <v>556</v>
      </c>
      <c r="C191" s="109"/>
      <c r="D191" s="110"/>
      <c r="E191" s="112"/>
      <c r="G191" s="111"/>
      <c r="I191" s="111"/>
      <c r="J191" s="111"/>
      <c r="K191" s="114"/>
      <c r="L191" s="111"/>
    </row>
    <row r="192">
      <c r="A192" s="92">
        <v>191.0</v>
      </c>
      <c r="B192" s="1" t="s">
        <v>741</v>
      </c>
      <c r="C192" s="109"/>
      <c r="D192" s="98" t="s">
        <v>742</v>
      </c>
      <c r="E192" s="112"/>
      <c r="G192" s="93" t="s">
        <v>743</v>
      </c>
      <c r="I192" s="111"/>
      <c r="J192" s="111"/>
      <c r="K192" s="42" t="s">
        <v>60</v>
      </c>
      <c r="L192" s="93" t="s">
        <v>61</v>
      </c>
    </row>
    <row r="193">
      <c r="A193" s="92">
        <v>192.0</v>
      </c>
      <c r="B193" s="1" t="s">
        <v>744</v>
      </c>
      <c r="C193" s="109"/>
      <c r="D193" s="98" t="s">
        <v>745</v>
      </c>
      <c r="E193" s="112"/>
      <c r="G193" s="93" t="s">
        <v>338</v>
      </c>
      <c r="H193" s="1">
        <v>2131.0</v>
      </c>
      <c r="I193" s="93" t="s">
        <v>746</v>
      </c>
      <c r="J193" s="93" t="s">
        <v>59</v>
      </c>
      <c r="K193" s="42" t="s">
        <v>60</v>
      </c>
      <c r="L193" s="93" t="s">
        <v>61</v>
      </c>
    </row>
    <row r="194">
      <c r="A194" s="92">
        <v>193.0</v>
      </c>
      <c r="B194" s="1" t="s">
        <v>747</v>
      </c>
      <c r="C194" s="109"/>
      <c r="D194" s="98" t="s">
        <v>748</v>
      </c>
      <c r="E194" s="112"/>
      <c r="G194" s="93" t="s">
        <v>749</v>
      </c>
      <c r="H194" s="1">
        <v>974.0</v>
      </c>
      <c r="I194" s="111"/>
      <c r="J194" s="93" t="s">
        <v>68</v>
      </c>
      <c r="K194" s="42" t="s">
        <v>60</v>
      </c>
      <c r="L194" s="93" t="s">
        <v>61</v>
      </c>
    </row>
    <row r="195">
      <c r="A195" s="92">
        <v>194.0</v>
      </c>
      <c r="B195" s="1" t="s">
        <v>750</v>
      </c>
      <c r="C195" s="109"/>
      <c r="D195" s="98" t="s">
        <v>751</v>
      </c>
      <c r="E195" s="112"/>
      <c r="G195" s="93" t="s">
        <v>752</v>
      </c>
      <c r="H195" s="1">
        <v>1098.0</v>
      </c>
      <c r="I195" s="111"/>
      <c r="J195" s="93" t="s">
        <v>753</v>
      </c>
      <c r="K195" s="42" t="s">
        <v>754</v>
      </c>
      <c r="L195" s="93" t="s">
        <v>61</v>
      </c>
    </row>
    <row r="196">
      <c r="A196" s="92">
        <v>195.0</v>
      </c>
      <c r="B196" s="1" t="s">
        <v>755</v>
      </c>
      <c r="C196" s="97" t="s">
        <v>756</v>
      </c>
      <c r="D196" s="110"/>
      <c r="E196" s="112"/>
      <c r="G196" s="93" t="s">
        <v>757</v>
      </c>
      <c r="H196" s="1">
        <v>113.0</v>
      </c>
      <c r="I196" s="111"/>
      <c r="J196" s="93" t="s">
        <v>392</v>
      </c>
      <c r="K196" s="42" t="s">
        <v>60</v>
      </c>
      <c r="L196" s="93" t="s">
        <v>61</v>
      </c>
    </row>
    <row r="197">
      <c r="A197" s="92">
        <v>196.0</v>
      </c>
      <c r="B197" s="1" t="s">
        <v>758</v>
      </c>
      <c r="C197" s="97" t="s">
        <v>15</v>
      </c>
      <c r="D197" s="97" t="s">
        <v>759</v>
      </c>
      <c r="E197" s="112"/>
      <c r="G197" s="93" t="s">
        <v>760</v>
      </c>
      <c r="H197" s="1">
        <v>1892.0</v>
      </c>
      <c r="I197" s="93" t="s">
        <v>761</v>
      </c>
      <c r="J197" s="93" t="s">
        <v>762</v>
      </c>
      <c r="K197" s="42" t="s">
        <v>78</v>
      </c>
      <c r="L197" s="93" t="s">
        <v>61</v>
      </c>
    </row>
    <row r="198">
      <c r="A198" s="92">
        <v>197.0</v>
      </c>
      <c r="B198" s="1" t="s">
        <v>763</v>
      </c>
      <c r="C198" s="109"/>
      <c r="D198" s="98" t="s">
        <v>764</v>
      </c>
      <c r="E198" s="112"/>
      <c r="G198" s="93" t="s">
        <v>765</v>
      </c>
      <c r="H198" s="1">
        <v>148.0</v>
      </c>
      <c r="I198" s="93" t="s">
        <v>766</v>
      </c>
      <c r="J198" s="93" t="s">
        <v>767</v>
      </c>
      <c r="K198" s="42" t="s">
        <v>768</v>
      </c>
      <c r="L198" s="93" t="s">
        <v>165</v>
      </c>
    </row>
    <row r="199">
      <c r="A199" s="92">
        <v>198.0</v>
      </c>
      <c r="B199" s="1" t="s">
        <v>769</v>
      </c>
      <c r="C199" s="109"/>
      <c r="D199" s="98" t="s">
        <v>770</v>
      </c>
      <c r="E199" s="112"/>
      <c r="G199" s="93" t="s">
        <v>771</v>
      </c>
      <c r="H199" s="1">
        <v>482.0</v>
      </c>
      <c r="I199" s="93" t="s">
        <v>15</v>
      </c>
      <c r="J199" s="93" t="s">
        <v>772</v>
      </c>
      <c r="K199" s="42" t="s">
        <v>269</v>
      </c>
      <c r="L199" s="93" t="s">
        <v>61</v>
      </c>
    </row>
    <row r="200">
      <c r="A200" s="92">
        <v>199.0</v>
      </c>
      <c r="B200" s="1" t="s">
        <v>773</v>
      </c>
      <c r="C200" s="109"/>
      <c r="D200" s="110"/>
      <c r="E200" s="112"/>
      <c r="G200" s="93" t="s">
        <v>774</v>
      </c>
      <c r="H200" s="1">
        <v>522.0</v>
      </c>
      <c r="I200" s="93" t="s">
        <v>15</v>
      </c>
      <c r="J200" s="93" t="s">
        <v>226</v>
      </c>
      <c r="K200" s="42" t="s">
        <v>60</v>
      </c>
      <c r="L200" s="93" t="s">
        <v>61</v>
      </c>
    </row>
    <row r="201">
      <c r="A201" s="92">
        <v>200.0</v>
      </c>
      <c r="B201" s="1" t="s">
        <v>775</v>
      </c>
      <c r="C201" s="109"/>
      <c r="D201" s="98" t="s">
        <v>776</v>
      </c>
      <c r="E201" s="112"/>
      <c r="G201" s="93" t="s">
        <v>777</v>
      </c>
      <c r="I201" s="111"/>
      <c r="J201" s="111"/>
      <c r="K201" s="42" t="s">
        <v>60</v>
      </c>
      <c r="L201" s="93" t="s">
        <v>61</v>
      </c>
    </row>
    <row r="202">
      <c r="A202" s="92">
        <v>201.0</v>
      </c>
      <c r="B202" s="1" t="s">
        <v>383</v>
      </c>
      <c r="C202" s="109"/>
      <c r="D202" s="98" t="s">
        <v>778</v>
      </c>
      <c r="E202" s="112"/>
      <c r="G202" s="93" t="s">
        <v>779</v>
      </c>
      <c r="I202" s="111"/>
      <c r="J202" s="93" t="s">
        <v>226</v>
      </c>
      <c r="K202" s="42" t="s">
        <v>60</v>
      </c>
      <c r="L202" s="93" t="s">
        <v>61</v>
      </c>
    </row>
    <row r="203">
      <c r="A203" s="92">
        <v>202.0</v>
      </c>
      <c r="B203" s="1" t="s">
        <v>780</v>
      </c>
      <c r="C203" s="109"/>
      <c r="D203" s="98" t="s">
        <v>781</v>
      </c>
      <c r="E203" s="112"/>
      <c r="G203" s="93" t="s">
        <v>782</v>
      </c>
      <c r="H203" s="1">
        <v>1338.0</v>
      </c>
      <c r="I203" s="93" t="s">
        <v>783</v>
      </c>
      <c r="J203" s="93" t="s">
        <v>784</v>
      </c>
      <c r="K203" s="42" t="s">
        <v>785</v>
      </c>
      <c r="L203" s="93" t="s">
        <v>61</v>
      </c>
    </row>
    <row r="204">
      <c r="A204" s="92">
        <v>203.0</v>
      </c>
      <c r="B204" s="1" t="s">
        <v>786</v>
      </c>
      <c r="C204" s="109"/>
      <c r="D204" s="98" t="s">
        <v>787</v>
      </c>
      <c r="E204" s="112"/>
      <c r="G204" s="93" t="s">
        <v>788</v>
      </c>
      <c r="H204" s="1">
        <v>821.0</v>
      </c>
      <c r="I204" s="111"/>
      <c r="J204" s="93" t="s">
        <v>59</v>
      </c>
      <c r="K204" s="42" t="s">
        <v>60</v>
      </c>
      <c r="L204" s="93" t="s">
        <v>61</v>
      </c>
    </row>
    <row r="205">
      <c r="A205" s="92">
        <v>204.0</v>
      </c>
      <c r="B205" s="1" t="s">
        <v>789</v>
      </c>
      <c r="C205" s="109"/>
      <c r="D205" s="98" t="s">
        <v>790</v>
      </c>
      <c r="E205" s="112"/>
      <c r="G205" s="93" t="s">
        <v>791</v>
      </c>
      <c r="H205" s="1">
        <v>630.0</v>
      </c>
      <c r="I205" s="111"/>
      <c r="J205" s="93" t="s">
        <v>792</v>
      </c>
      <c r="K205" s="42" t="s">
        <v>368</v>
      </c>
      <c r="L205" s="93" t="s">
        <v>61</v>
      </c>
    </row>
    <row r="206">
      <c r="A206" s="92">
        <v>205.0</v>
      </c>
      <c r="C206" s="109"/>
      <c r="D206" s="110"/>
      <c r="E206" s="112"/>
      <c r="G206" s="111"/>
      <c r="I206" s="111"/>
      <c r="J206" s="111"/>
      <c r="K206" s="114"/>
      <c r="L206" s="111"/>
    </row>
    <row r="207">
      <c r="A207" s="92">
        <v>206.0</v>
      </c>
      <c r="C207" s="109"/>
      <c r="D207" s="110"/>
      <c r="E207" s="112"/>
      <c r="G207" s="111"/>
      <c r="I207" s="111"/>
      <c r="J207" s="111"/>
      <c r="K207" s="114"/>
      <c r="L207" s="111"/>
    </row>
    <row r="208">
      <c r="A208" s="92">
        <v>207.0</v>
      </c>
      <c r="C208" s="109"/>
      <c r="D208" s="110"/>
      <c r="E208" s="112"/>
      <c r="G208" s="111"/>
      <c r="I208" s="111"/>
      <c r="J208" s="111"/>
      <c r="K208" s="114"/>
      <c r="L208" s="111"/>
    </row>
    <row r="209">
      <c r="A209" s="92">
        <v>208.0</v>
      </c>
      <c r="C209" s="109"/>
      <c r="D209" s="110"/>
      <c r="E209" s="112"/>
      <c r="G209" s="111"/>
      <c r="I209" s="111"/>
      <c r="J209" s="111"/>
      <c r="K209" s="114"/>
      <c r="L209" s="111"/>
    </row>
    <row r="210">
      <c r="A210" s="92">
        <v>209.0</v>
      </c>
      <c r="C210" s="109"/>
      <c r="D210" s="110"/>
      <c r="E210" s="112"/>
      <c r="G210" s="111"/>
      <c r="I210" s="111"/>
      <c r="J210" s="111"/>
      <c r="K210" s="114"/>
      <c r="L210" s="111"/>
    </row>
    <row r="211">
      <c r="A211" s="92">
        <v>210.0</v>
      </c>
      <c r="C211" s="109"/>
      <c r="D211" s="110"/>
      <c r="E211" s="112"/>
      <c r="G211" s="111"/>
      <c r="I211" s="111"/>
      <c r="J211" s="111"/>
      <c r="K211" s="114"/>
      <c r="L211" s="111"/>
    </row>
    <row r="212">
      <c r="A212" s="92">
        <v>211.0</v>
      </c>
      <c r="C212" s="109"/>
      <c r="D212" s="110"/>
      <c r="E212" s="112"/>
      <c r="G212" s="111"/>
      <c r="I212" s="111"/>
      <c r="J212" s="111"/>
      <c r="K212" s="114"/>
      <c r="L212" s="111"/>
    </row>
    <row r="213">
      <c r="A213" s="92">
        <v>212.0</v>
      </c>
      <c r="C213" s="109"/>
      <c r="D213" s="110"/>
      <c r="E213" s="112"/>
      <c r="G213" s="111"/>
      <c r="I213" s="111"/>
      <c r="J213" s="111"/>
      <c r="K213" s="114"/>
      <c r="L213" s="111"/>
    </row>
    <row r="214">
      <c r="A214" s="92">
        <v>213.0</v>
      </c>
      <c r="C214" s="109"/>
      <c r="D214" s="110"/>
      <c r="E214" s="112"/>
      <c r="G214" s="111"/>
      <c r="I214" s="111"/>
      <c r="J214" s="111"/>
      <c r="K214" s="114"/>
      <c r="L214" s="111"/>
    </row>
    <row r="215">
      <c r="A215" s="92">
        <v>214.0</v>
      </c>
      <c r="C215" s="109"/>
      <c r="D215" s="110"/>
      <c r="E215" s="112"/>
      <c r="G215" s="111"/>
      <c r="I215" s="111"/>
      <c r="J215" s="111"/>
      <c r="K215" s="114"/>
      <c r="L215" s="111"/>
    </row>
    <row r="216">
      <c r="A216" s="92">
        <v>215.0</v>
      </c>
      <c r="C216" s="109"/>
      <c r="D216" s="110"/>
      <c r="E216" s="112"/>
      <c r="G216" s="111"/>
      <c r="I216" s="111"/>
      <c r="J216" s="111"/>
      <c r="K216" s="114"/>
      <c r="L216" s="111"/>
    </row>
    <row r="217">
      <c r="A217" s="92">
        <v>216.0</v>
      </c>
      <c r="C217" s="109"/>
      <c r="D217" s="110"/>
      <c r="E217" s="112"/>
      <c r="G217" s="111"/>
      <c r="I217" s="111"/>
      <c r="J217" s="111"/>
      <c r="K217" s="114"/>
      <c r="L217" s="111"/>
    </row>
    <row r="218">
      <c r="A218" s="92">
        <v>217.0</v>
      </c>
      <c r="C218" s="109"/>
      <c r="D218" s="110"/>
      <c r="E218" s="112"/>
      <c r="G218" s="111"/>
      <c r="I218" s="111"/>
      <c r="J218" s="111"/>
      <c r="K218" s="114"/>
      <c r="L218" s="111"/>
    </row>
    <row r="219">
      <c r="A219" s="92">
        <v>218.0</v>
      </c>
      <c r="C219" s="109"/>
      <c r="D219" s="110"/>
      <c r="E219" s="112"/>
      <c r="G219" s="111"/>
      <c r="I219" s="111"/>
      <c r="J219" s="111"/>
      <c r="K219" s="114"/>
      <c r="L219" s="111"/>
    </row>
    <row r="220">
      <c r="A220" s="92">
        <v>219.0</v>
      </c>
      <c r="C220" s="109"/>
      <c r="D220" s="110"/>
      <c r="E220" s="112"/>
      <c r="G220" s="111"/>
      <c r="I220" s="111"/>
      <c r="J220" s="111"/>
      <c r="K220" s="114"/>
      <c r="L220" s="111"/>
    </row>
    <row r="221">
      <c r="A221" s="92">
        <v>220.0</v>
      </c>
      <c r="C221" s="109"/>
      <c r="D221" s="110"/>
      <c r="E221" s="112"/>
      <c r="G221" s="111"/>
      <c r="I221" s="111"/>
      <c r="J221" s="111"/>
      <c r="K221" s="114"/>
      <c r="L221" s="111"/>
    </row>
    <row r="222">
      <c r="A222" s="92">
        <v>221.0</v>
      </c>
      <c r="C222" s="109"/>
      <c r="D222" s="110"/>
      <c r="E222" s="112"/>
      <c r="G222" s="111"/>
      <c r="I222" s="111"/>
      <c r="J222" s="111"/>
      <c r="K222" s="114"/>
      <c r="L222" s="111"/>
    </row>
    <row r="223">
      <c r="A223" s="92">
        <v>222.0</v>
      </c>
      <c r="C223" s="109"/>
      <c r="D223" s="110"/>
      <c r="E223" s="112"/>
      <c r="G223" s="111"/>
      <c r="I223" s="111"/>
      <c r="J223" s="111"/>
      <c r="K223" s="114"/>
      <c r="L223" s="111"/>
    </row>
    <row r="224">
      <c r="A224" s="92">
        <v>223.0</v>
      </c>
      <c r="C224" s="109"/>
      <c r="D224" s="110"/>
      <c r="E224" s="112"/>
      <c r="G224" s="111"/>
      <c r="I224" s="111"/>
      <c r="J224" s="111"/>
      <c r="K224" s="114"/>
      <c r="L224" s="111"/>
    </row>
    <row r="225">
      <c r="A225" s="92">
        <v>224.0</v>
      </c>
      <c r="C225" s="109"/>
      <c r="D225" s="110"/>
      <c r="E225" s="112"/>
      <c r="G225" s="111"/>
      <c r="I225" s="111"/>
      <c r="J225" s="111"/>
      <c r="K225" s="114"/>
      <c r="L225" s="111"/>
    </row>
    <row r="226">
      <c r="A226" s="92">
        <v>225.0</v>
      </c>
      <c r="C226" s="109"/>
      <c r="D226" s="110"/>
      <c r="E226" s="112"/>
      <c r="G226" s="111"/>
      <c r="I226" s="111"/>
      <c r="J226" s="111"/>
      <c r="K226" s="114"/>
      <c r="L226" s="111"/>
    </row>
    <row r="227">
      <c r="A227" s="92">
        <v>226.0</v>
      </c>
      <c r="C227" s="109"/>
      <c r="D227" s="110"/>
      <c r="E227" s="112"/>
      <c r="G227" s="111"/>
      <c r="I227" s="111"/>
      <c r="J227" s="111"/>
      <c r="K227" s="114"/>
      <c r="L227" s="111"/>
    </row>
    <row r="228">
      <c r="A228" s="92">
        <v>227.0</v>
      </c>
      <c r="C228" s="109"/>
      <c r="D228" s="110"/>
      <c r="E228" s="112"/>
      <c r="G228" s="111"/>
      <c r="I228" s="111"/>
      <c r="J228" s="111"/>
      <c r="K228" s="114"/>
      <c r="L228" s="111"/>
    </row>
    <row r="229">
      <c r="A229" s="92">
        <v>228.0</v>
      </c>
      <c r="C229" s="109"/>
      <c r="D229" s="110"/>
      <c r="E229" s="112"/>
      <c r="G229" s="111"/>
      <c r="I229" s="111"/>
      <c r="J229" s="111"/>
      <c r="K229" s="114"/>
      <c r="L229" s="111"/>
    </row>
    <row r="230">
      <c r="A230" s="92">
        <v>229.0</v>
      </c>
      <c r="C230" s="109"/>
      <c r="D230" s="110"/>
      <c r="E230" s="112"/>
      <c r="G230" s="111"/>
      <c r="I230" s="111"/>
      <c r="J230" s="111"/>
      <c r="K230" s="114"/>
      <c r="L230" s="111"/>
    </row>
    <row r="231">
      <c r="A231" s="92">
        <v>230.0</v>
      </c>
      <c r="C231" s="109"/>
      <c r="D231" s="110"/>
      <c r="E231" s="112"/>
      <c r="G231" s="111"/>
      <c r="I231" s="111"/>
      <c r="J231" s="111"/>
      <c r="K231" s="114"/>
      <c r="L231" s="111"/>
    </row>
    <row r="232">
      <c r="A232" s="92">
        <v>231.0</v>
      </c>
      <c r="C232" s="109"/>
      <c r="D232" s="110"/>
      <c r="E232" s="112"/>
      <c r="G232" s="111"/>
      <c r="I232" s="111"/>
      <c r="J232" s="111"/>
      <c r="K232" s="114"/>
      <c r="L232" s="111"/>
    </row>
    <row r="233">
      <c r="A233" s="92">
        <v>232.0</v>
      </c>
      <c r="C233" s="109"/>
      <c r="D233" s="110"/>
      <c r="E233" s="112"/>
      <c r="G233" s="111"/>
      <c r="I233" s="111"/>
      <c r="J233" s="111"/>
      <c r="K233" s="114"/>
      <c r="L233" s="111"/>
    </row>
    <row r="234">
      <c r="A234" s="92">
        <v>233.0</v>
      </c>
      <c r="C234" s="109"/>
      <c r="D234" s="110"/>
      <c r="E234" s="112"/>
      <c r="G234" s="111"/>
      <c r="I234" s="111"/>
      <c r="J234" s="111"/>
      <c r="K234" s="114"/>
      <c r="L234" s="111"/>
    </row>
    <row r="235">
      <c r="A235" s="92">
        <v>234.0</v>
      </c>
      <c r="C235" s="109"/>
      <c r="D235" s="110"/>
      <c r="E235" s="112"/>
      <c r="G235" s="111"/>
      <c r="I235" s="111"/>
      <c r="J235" s="111"/>
      <c r="K235" s="114"/>
      <c r="L235" s="111"/>
    </row>
    <row r="236">
      <c r="A236" s="92">
        <v>235.0</v>
      </c>
      <c r="C236" s="109"/>
      <c r="D236" s="110"/>
      <c r="E236" s="112"/>
      <c r="G236" s="111"/>
      <c r="I236" s="111"/>
      <c r="J236" s="111"/>
      <c r="K236" s="114"/>
      <c r="L236" s="111"/>
    </row>
    <row r="237">
      <c r="A237" s="92">
        <v>236.0</v>
      </c>
      <c r="C237" s="109"/>
      <c r="D237" s="110"/>
      <c r="E237" s="112"/>
      <c r="G237" s="111"/>
      <c r="I237" s="111"/>
      <c r="J237" s="111"/>
      <c r="K237" s="114"/>
      <c r="L237" s="111"/>
    </row>
    <row r="238">
      <c r="A238" s="92">
        <v>237.0</v>
      </c>
      <c r="C238" s="109"/>
      <c r="D238" s="110"/>
      <c r="E238" s="112"/>
      <c r="G238" s="111"/>
      <c r="I238" s="111"/>
      <c r="J238" s="111"/>
      <c r="K238" s="114"/>
      <c r="L238" s="111"/>
    </row>
    <row r="239">
      <c r="A239" s="92">
        <v>238.0</v>
      </c>
      <c r="C239" s="109"/>
      <c r="D239" s="110"/>
      <c r="E239" s="112"/>
      <c r="G239" s="111"/>
      <c r="I239" s="111"/>
      <c r="J239" s="111"/>
      <c r="K239" s="114"/>
      <c r="L239" s="111"/>
    </row>
    <row r="240">
      <c r="A240" s="92">
        <v>239.0</v>
      </c>
      <c r="C240" s="109"/>
      <c r="D240" s="110"/>
      <c r="E240" s="112"/>
      <c r="G240" s="111"/>
      <c r="I240" s="111"/>
      <c r="J240" s="111"/>
      <c r="K240" s="114"/>
      <c r="L240" s="111"/>
    </row>
    <row r="241">
      <c r="A241" s="92">
        <v>240.0</v>
      </c>
      <c r="C241" s="109"/>
      <c r="D241" s="110"/>
      <c r="E241" s="112"/>
      <c r="G241" s="111"/>
      <c r="I241" s="111"/>
      <c r="J241" s="111"/>
      <c r="K241" s="114"/>
      <c r="L241" s="111"/>
    </row>
    <row r="242">
      <c r="A242" s="92">
        <v>241.0</v>
      </c>
      <c r="C242" s="109"/>
      <c r="D242" s="110"/>
      <c r="E242" s="112"/>
      <c r="G242" s="111"/>
      <c r="I242" s="111"/>
      <c r="J242" s="111"/>
      <c r="K242" s="114"/>
      <c r="L242" s="111"/>
    </row>
    <row r="243">
      <c r="A243" s="92">
        <v>242.0</v>
      </c>
      <c r="C243" s="109"/>
      <c r="D243" s="110"/>
      <c r="E243" s="112"/>
      <c r="G243" s="111"/>
      <c r="I243" s="111"/>
      <c r="J243" s="111"/>
      <c r="K243" s="114"/>
      <c r="L243" s="111"/>
    </row>
    <row r="244">
      <c r="A244" s="92">
        <v>243.0</v>
      </c>
      <c r="C244" s="109"/>
      <c r="D244" s="110"/>
      <c r="E244" s="112"/>
      <c r="G244" s="111"/>
      <c r="I244" s="111"/>
      <c r="J244" s="111"/>
      <c r="K244" s="114"/>
      <c r="L244" s="111"/>
    </row>
    <row r="245">
      <c r="A245" s="92">
        <v>244.0</v>
      </c>
      <c r="C245" s="109"/>
      <c r="D245" s="110"/>
      <c r="E245" s="112"/>
      <c r="G245" s="111"/>
      <c r="I245" s="111"/>
      <c r="J245" s="111"/>
      <c r="K245" s="114"/>
      <c r="L245" s="111"/>
    </row>
    <row r="246">
      <c r="A246" s="92">
        <v>245.0</v>
      </c>
      <c r="C246" s="109"/>
      <c r="D246" s="110"/>
      <c r="E246" s="112"/>
      <c r="G246" s="111"/>
      <c r="I246" s="111"/>
      <c r="J246" s="111"/>
      <c r="K246" s="114"/>
      <c r="L246" s="111"/>
    </row>
    <row r="247">
      <c r="A247" s="92">
        <v>246.0</v>
      </c>
      <c r="C247" s="109"/>
      <c r="D247" s="110"/>
      <c r="E247" s="112"/>
      <c r="G247" s="111"/>
      <c r="I247" s="111"/>
      <c r="J247" s="111"/>
      <c r="K247" s="114"/>
      <c r="L247" s="111"/>
    </row>
    <row r="248">
      <c r="A248" s="92">
        <v>247.0</v>
      </c>
      <c r="C248" s="109"/>
      <c r="D248" s="110"/>
      <c r="E248" s="112"/>
      <c r="G248" s="111"/>
      <c r="I248" s="111"/>
      <c r="J248" s="111"/>
      <c r="K248" s="114"/>
      <c r="L248" s="111"/>
    </row>
    <row r="249">
      <c r="A249" s="92">
        <v>248.0</v>
      </c>
      <c r="C249" s="109"/>
      <c r="D249" s="110"/>
      <c r="E249" s="112"/>
      <c r="G249" s="111"/>
      <c r="I249" s="111"/>
      <c r="J249" s="111"/>
      <c r="K249" s="114"/>
      <c r="L249" s="111"/>
    </row>
    <row r="250">
      <c r="A250" s="92">
        <v>249.0</v>
      </c>
      <c r="C250" s="109"/>
      <c r="D250" s="110"/>
      <c r="E250" s="112"/>
      <c r="G250" s="111"/>
      <c r="I250" s="111"/>
      <c r="J250" s="111"/>
      <c r="K250" s="114"/>
      <c r="L250" s="111"/>
    </row>
    <row r="251">
      <c r="A251" s="92">
        <v>250.0</v>
      </c>
      <c r="C251" s="109"/>
      <c r="D251" s="110"/>
      <c r="E251" s="112"/>
      <c r="G251" s="111"/>
      <c r="I251" s="111"/>
      <c r="J251" s="111"/>
      <c r="K251" s="114"/>
      <c r="L251" s="111"/>
    </row>
    <row r="252">
      <c r="A252" s="92">
        <v>251.0</v>
      </c>
      <c r="C252" s="109"/>
      <c r="D252" s="110"/>
      <c r="E252" s="112"/>
      <c r="G252" s="111"/>
      <c r="I252" s="111"/>
      <c r="J252" s="111"/>
      <c r="K252" s="114"/>
      <c r="L252" s="111"/>
    </row>
    <row r="253">
      <c r="A253" s="92">
        <v>252.0</v>
      </c>
      <c r="C253" s="109"/>
      <c r="D253" s="110"/>
      <c r="E253" s="112"/>
      <c r="G253" s="111"/>
      <c r="I253" s="111"/>
      <c r="J253" s="111"/>
      <c r="K253" s="114"/>
      <c r="L253" s="111"/>
    </row>
    <row r="254">
      <c r="A254" s="92">
        <v>253.0</v>
      </c>
      <c r="C254" s="109"/>
      <c r="D254" s="110"/>
      <c r="E254" s="112"/>
      <c r="G254" s="111"/>
      <c r="I254" s="111"/>
      <c r="J254" s="111"/>
      <c r="K254" s="114"/>
      <c r="L254" s="111"/>
    </row>
    <row r="255">
      <c r="A255" s="92">
        <v>254.0</v>
      </c>
      <c r="C255" s="109"/>
      <c r="D255" s="110"/>
      <c r="E255" s="112"/>
      <c r="G255" s="111"/>
      <c r="I255" s="111"/>
      <c r="J255" s="111"/>
      <c r="K255" s="114"/>
      <c r="L255" s="111"/>
    </row>
    <row r="256">
      <c r="A256" s="92">
        <v>255.0</v>
      </c>
      <c r="C256" s="109"/>
      <c r="D256" s="110"/>
      <c r="E256" s="112"/>
      <c r="G256" s="111"/>
      <c r="I256" s="111"/>
      <c r="J256" s="111"/>
      <c r="K256" s="114"/>
      <c r="L256" s="111"/>
    </row>
    <row r="257">
      <c r="A257" s="92">
        <v>256.0</v>
      </c>
      <c r="C257" s="109"/>
      <c r="D257" s="110"/>
      <c r="E257" s="112"/>
      <c r="G257" s="111"/>
      <c r="I257" s="111"/>
      <c r="J257" s="111"/>
      <c r="K257" s="114"/>
      <c r="L257" s="111"/>
    </row>
    <row r="258">
      <c r="A258" s="92">
        <v>257.0</v>
      </c>
      <c r="C258" s="109"/>
      <c r="D258" s="110"/>
      <c r="E258" s="112"/>
      <c r="G258" s="111"/>
      <c r="I258" s="111"/>
      <c r="J258" s="111"/>
      <c r="K258" s="114"/>
      <c r="L258" s="111"/>
    </row>
    <row r="259">
      <c r="A259" s="92">
        <v>258.0</v>
      </c>
      <c r="C259" s="109"/>
      <c r="D259" s="110"/>
      <c r="E259" s="112"/>
      <c r="G259" s="111"/>
      <c r="I259" s="111"/>
      <c r="J259" s="111"/>
      <c r="K259" s="114"/>
      <c r="L259" s="111"/>
    </row>
    <row r="260">
      <c r="A260" s="92">
        <v>259.0</v>
      </c>
      <c r="C260" s="109"/>
      <c r="D260" s="110"/>
      <c r="E260" s="112"/>
      <c r="G260" s="111"/>
      <c r="I260" s="111"/>
      <c r="J260" s="111"/>
      <c r="K260" s="114"/>
      <c r="L260" s="111"/>
    </row>
    <row r="261">
      <c r="A261" s="92">
        <v>260.0</v>
      </c>
      <c r="C261" s="109"/>
      <c r="D261" s="110"/>
      <c r="E261" s="112"/>
      <c r="G261" s="111"/>
      <c r="I261" s="111"/>
      <c r="J261" s="111"/>
      <c r="K261" s="114"/>
      <c r="L261" s="111"/>
    </row>
    <row r="262">
      <c r="A262" s="92">
        <v>261.0</v>
      </c>
      <c r="C262" s="109"/>
      <c r="D262" s="110"/>
      <c r="E262" s="112"/>
      <c r="G262" s="111"/>
      <c r="I262" s="111"/>
      <c r="J262" s="111"/>
      <c r="K262" s="114"/>
      <c r="L262" s="111"/>
    </row>
    <row r="263">
      <c r="A263" s="92">
        <v>262.0</v>
      </c>
      <c r="C263" s="109"/>
      <c r="D263" s="110"/>
      <c r="E263" s="112"/>
      <c r="G263" s="111"/>
      <c r="I263" s="111"/>
      <c r="J263" s="111"/>
      <c r="K263" s="114"/>
      <c r="L263" s="111"/>
    </row>
    <row r="264">
      <c r="A264" s="92">
        <v>263.0</v>
      </c>
      <c r="C264" s="109"/>
      <c r="D264" s="110"/>
      <c r="E264" s="112"/>
      <c r="G264" s="111"/>
      <c r="I264" s="111"/>
      <c r="J264" s="111"/>
      <c r="K264" s="114"/>
      <c r="L264" s="111"/>
    </row>
    <row r="265">
      <c r="A265" s="92">
        <v>264.0</v>
      </c>
      <c r="C265" s="109"/>
      <c r="D265" s="110"/>
      <c r="E265" s="112"/>
      <c r="G265" s="111"/>
      <c r="I265" s="111"/>
      <c r="J265" s="111"/>
      <c r="K265" s="114"/>
      <c r="L265" s="111"/>
    </row>
    <row r="266">
      <c r="A266" s="92">
        <v>265.0</v>
      </c>
      <c r="C266" s="109"/>
      <c r="D266" s="110"/>
      <c r="E266" s="112"/>
      <c r="G266" s="111"/>
      <c r="I266" s="111"/>
      <c r="J266" s="111"/>
      <c r="K266" s="114"/>
      <c r="L266" s="111"/>
    </row>
    <row r="267">
      <c r="A267" s="92">
        <v>266.0</v>
      </c>
      <c r="C267" s="109"/>
      <c r="D267" s="110"/>
      <c r="E267" s="112"/>
      <c r="G267" s="111"/>
      <c r="I267" s="111"/>
      <c r="J267" s="111"/>
      <c r="K267" s="114"/>
      <c r="L267" s="111"/>
    </row>
    <row r="268">
      <c r="A268" s="92">
        <v>267.0</v>
      </c>
      <c r="C268" s="109"/>
      <c r="D268" s="110"/>
      <c r="E268" s="112"/>
      <c r="G268" s="111"/>
      <c r="I268" s="111"/>
      <c r="J268" s="111"/>
      <c r="K268" s="114"/>
      <c r="L268" s="111"/>
    </row>
    <row r="269">
      <c r="A269" s="92">
        <v>268.0</v>
      </c>
      <c r="C269" s="109"/>
      <c r="D269" s="110"/>
      <c r="E269" s="112"/>
      <c r="G269" s="111"/>
      <c r="I269" s="111"/>
      <c r="J269" s="111"/>
      <c r="K269" s="114"/>
      <c r="L269" s="111"/>
    </row>
    <row r="270">
      <c r="A270" s="92">
        <v>269.0</v>
      </c>
      <c r="C270" s="109"/>
      <c r="D270" s="110"/>
      <c r="E270" s="112"/>
      <c r="G270" s="111"/>
      <c r="I270" s="111"/>
      <c r="J270" s="111"/>
      <c r="K270" s="114"/>
      <c r="L270" s="111"/>
    </row>
    <row r="271">
      <c r="A271" s="92">
        <v>270.0</v>
      </c>
      <c r="C271" s="109"/>
      <c r="D271" s="110"/>
      <c r="E271" s="112"/>
      <c r="G271" s="111"/>
      <c r="I271" s="111"/>
      <c r="J271" s="111"/>
      <c r="K271" s="114"/>
      <c r="L271" s="111"/>
    </row>
    <row r="272">
      <c r="A272" s="92">
        <v>271.0</v>
      </c>
      <c r="C272" s="109"/>
      <c r="D272" s="110"/>
      <c r="E272" s="112"/>
      <c r="G272" s="111"/>
      <c r="I272" s="111"/>
      <c r="J272" s="111"/>
      <c r="K272" s="114"/>
      <c r="L272" s="111"/>
    </row>
    <row r="273">
      <c r="A273" s="92">
        <v>272.0</v>
      </c>
      <c r="C273" s="109"/>
      <c r="D273" s="110"/>
      <c r="E273" s="112"/>
      <c r="G273" s="111"/>
      <c r="I273" s="111"/>
      <c r="J273" s="111"/>
      <c r="K273" s="114"/>
      <c r="L273" s="111"/>
    </row>
    <row r="274">
      <c r="A274" s="92">
        <v>273.0</v>
      </c>
      <c r="C274" s="109"/>
      <c r="D274" s="110"/>
      <c r="E274" s="112"/>
      <c r="G274" s="111"/>
      <c r="I274" s="111"/>
      <c r="J274" s="111"/>
      <c r="K274" s="114"/>
      <c r="L274" s="111"/>
    </row>
    <row r="275">
      <c r="A275" s="92">
        <v>274.0</v>
      </c>
      <c r="C275" s="109"/>
      <c r="D275" s="110"/>
      <c r="E275" s="112"/>
      <c r="G275" s="111"/>
      <c r="I275" s="111"/>
      <c r="J275" s="111"/>
      <c r="K275" s="114"/>
      <c r="L275" s="111"/>
    </row>
    <row r="276">
      <c r="A276" s="92">
        <v>275.0</v>
      </c>
      <c r="C276" s="109"/>
      <c r="D276" s="110"/>
      <c r="E276" s="112"/>
      <c r="G276" s="111"/>
      <c r="I276" s="111"/>
      <c r="J276" s="111"/>
      <c r="K276" s="114"/>
      <c r="L276" s="111"/>
    </row>
    <row r="277">
      <c r="A277" s="92">
        <v>276.0</v>
      </c>
      <c r="C277" s="109"/>
      <c r="D277" s="110"/>
      <c r="E277" s="112"/>
      <c r="G277" s="111"/>
      <c r="I277" s="111"/>
      <c r="J277" s="111"/>
      <c r="K277" s="114"/>
      <c r="L277" s="111"/>
    </row>
    <row r="278">
      <c r="A278" s="92">
        <v>277.0</v>
      </c>
      <c r="C278" s="109"/>
      <c r="D278" s="110"/>
      <c r="E278" s="112"/>
      <c r="G278" s="111"/>
      <c r="I278" s="111"/>
      <c r="J278" s="111"/>
      <c r="K278" s="114"/>
      <c r="L278" s="111"/>
    </row>
    <row r="279">
      <c r="A279" s="92">
        <v>278.0</v>
      </c>
      <c r="C279" s="109"/>
      <c r="D279" s="110"/>
      <c r="E279" s="112"/>
      <c r="G279" s="111"/>
      <c r="I279" s="111"/>
      <c r="J279" s="111"/>
      <c r="K279" s="114"/>
      <c r="L279" s="111"/>
    </row>
    <row r="280">
      <c r="A280" s="92">
        <v>279.0</v>
      </c>
      <c r="C280" s="109"/>
      <c r="D280" s="110"/>
      <c r="E280" s="112"/>
      <c r="G280" s="111"/>
      <c r="I280" s="111"/>
      <c r="J280" s="111"/>
      <c r="K280" s="114"/>
      <c r="L280" s="111"/>
    </row>
    <row r="281">
      <c r="A281" s="92">
        <v>280.0</v>
      </c>
      <c r="C281" s="109"/>
      <c r="D281" s="110"/>
      <c r="E281" s="112"/>
      <c r="G281" s="111"/>
      <c r="I281" s="111"/>
      <c r="J281" s="111"/>
      <c r="K281" s="114"/>
      <c r="L281" s="111"/>
    </row>
    <row r="282">
      <c r="A282" s="92">
        <v>281.0</v>
      </c>
      <c r="C282" s="109"/>
      <c r="D282" s="110"/>
      <c r="E282" s="112"/>
      <c r="G282" s="111"/>
      <c r="I282" s="111"/>
      <c r="J282" s="111"/>
      <c r="K282" s="114"/>
      <c r="L282" s="111"/>
    </row>
    <row r="283">
      <c r="A283" s="92">
        <v>282.0</v>
      </c>
      <c r="C283" s="109"/>
      <c r="D283" s="110"/>
      <c r="E283" s="112"/>
      <c r="G283" s="111"/>
      <c r="I283" s="111"/>
      <c r="J283" s="111"/>
      <c r="K283" s="114"/>
      <c r="L283" s="111"/>
    </row>
    <row r="284">
      <c r="A284" s="92">
        <v>283.0</v>
      </c>
      <c r="C284" s="109"/>
      <c r="D284" s="110"/>
      <c r="E284" s="112"/>
      <c r="G284" s="111"/>
      <c r="I284" s="111"/>
      <c r="J284" s="111"/>
      <c r="K284" s="114"/>
      <c r="L284" s="111"/>
    </row>
    <row r="285">
      <c r="A285" s="92">
        <v>284.0</v>
      </c>
      <c r="C285" s="109"/>
      <c r="D285" s="110"/>
      <c r="E285" s="112"/>
      <c r="G285" s="111"/>
      <c r="I285" s="111"/>
      <c r="J285" s="111"/>
      <c r="K285" s="114"/>
      <c r="L285" s="111"/>
    </row>
    <row r="286">
      <c r="A286" s="92">
        <v>285.0</v>
      </c>
      <c r="C286" s="109"/>
      <c r="D286" s="110"/>
      <c r="E286" s="112"/>
      <c r="G286" s="111"/>
      <c r="I286" s="111"/>
      <c r="J286" s="111"/>
      <c r="K286" s="114"/>
      <c r="L286" s="111"/>
    </row>
    <row r="287">
      <c r="A287" s="92">
        <v>286.0</v>
      </c>
      <c r="C287" s="109"/>
      <c r="D287" s="110"/>
      <c r="E287" s="112"/>
      <c r="G287" s="111"/>
      <c r="I287" s="111"/>
      <c r="J287" s="111"/>
      <c r="K287" s="114"/>
      <c r="L287" s="111"/>
    </row>
    <row r="288">
      <c r="A288" s="92">
        <v>287.0</v>
      </c>
      <c r="C288" s="109"/>
      <c r="D288" s="110"/>
      <c r="E288" s="112"/>
      <c r="G288" s="111"/>
      <c r="I288" s="111"/>
      <c r="J288" s="111"/>
      <c r="K288" s="114"/>
      <c r="L288" s="111"/>
    </row>
    <row r="289">
      <c r="A289" s="92">
        <v>288.0</v>
      </c>
      <c r="C289" s="109"/>
      <c r="D289" s="110"/>
      <c r="E289" s="112"/>
      <c r="G289" s="111"/>
      <c r="I289" s="111"/>
      <c r="J289" s="111"/>
      <c r="K289" s="114"/>
      <c r="L289" s="111"/>
    </row>
    <row r="290">
      <c r="A290" s="92">
        <v>289.0</v>
      </c>
      <c r="C290" s="109"/>
      <c r="D290" s="110"/>
      <c r="E290" s="112"/>
      <c r="G290" s="111"/>
      <c r="I290" s="111"/>
      <c r="J290" s="111"/>
      <c r="K290" s="114"/>
      <c r="L290" s="111"/>
    </row>
    <row r="291">
      <c r="A291" s="92">
        <v>290.0</v>
      </c>
      <c r="C291" s="109"/>
      <c r="D291" s="110"/>
      <c r="E291" s="112"/>
      <c r="G291" s="111"/>
      <c r="I291" s="111"/>
      <c r="J291" s="111"/>
      <c r="K291" s="114"/>
      <c r="L291" s="111"/>
    </row>
    <row r="292">
      <c r="A292" s="92">
        <v>291.0</v>
      </c>
      <c r="C292" s="109"/>
      <c r="D292" s="110"/>
      <c r="E292" s="112"/>
      <c r="G292" s="111"/>
      <c r="I292" s="111"/>
      <c r="J292" s="111"/>
      <c r="K292" s="114"/>
      <c r="L292" s="111"/>
    </row>
    <row r="293">
      <c r="A293" s="92">
        <v>292.0</v>
      </c>
      <c r="C293" s="109"/>
      <c r="D293" s="110"/>
      <c r="E293" s="112"/>
      <c r="G293" s="111"/>
      <c r="I293" s="111"/>
      <c r="J293" s="111"/>
      <c r="K293" s="114"/>
      <c r="L293" s="111"/>
    </row>
    <row r="294">
      <c r="A294" s="92">
        <v>293.0</v>
      </c>
      <c r="C294" s="109"/>
      <c r="D294" s="110"/>
      <c r="E294" s="112"/>
      <c r="G294" s="111"/>
      <c r="I294" s="111"/>
      <c r="J294" s="111"/>
      <c r="K294" s="114"/>
      <c r="L294" s="111"/>
    </row>
    <row r="295">
      <c r="A295" s="92">
        <v>294.0</v>
      </c>
      <c r="C295" s="109"/>
      <c r="D295" s="110"/>
      <c r="E295" s="112"/>
      <c r="G295" s="111"/>
      <c r="I295" s="111"/>
      <c r="J295" s="111"/>
      <c r="K295" s="114"/>
      <c r="L295" s="111"/>
    </row>
    <row r="296">
      <c r="A296" s="92">
        <v>295.0</v>
      </c>
      <c r="C296" s="109"/>
      <c r="D296" s="110"/>
      <c r="E296" s="112"/>
      <c r="G296" s="111"/>
      <c r="I296" s="111"/>
      <c r="J296" s="111"/>
      <c r="K296" s="114"/>
      <c r="L296" s="111"/>
    </row>
    <row r="297">
      <c r="A297" s="92">
        <v>296.0</v>
      </c>
      <c r="C297" s="109"/>
      <c r="D297" s="110"/>
      <c r="E297" s="112"/>
      <c r="G297" s="111"/>
      <c r="I297" s="111"/>
      <c r="J297" s="111"/>
      <c r="K297" s="114"/>
      <c r="L297" s="111"/>
    </row>
    <row r="298">
      <c r="A298" s="92">
        <v>297.0</v>
      </c>
      <c r="C298" s="109"/>
      <c r="D298" s="110"/>
      <c r="E298" s="112"/>
      <c r="G298" s="111"/>
      <c r="I298" s="111"/>
      <c r="J298" s="111"/>
      <c r="K298" s="114"/>
      <c r="L298" s="111"/>
    </row>
    <row r="299">
      <c r="A299" s="92">
        <v>298.0</v>
      </c>
      <c r="C299" s="109"/>
      <c r="D299" s="110"/>
      <c r="E299" s="112"/>
      <c r="G299" s="111"/>
      <c r="I299" s="111"/>
      <c r="J299" s="111"/>
      <c r="K299" s="114"/>
      <c r="L299" s="111"/>
    </row>
    <row r="300">
      <c r="A300" s="92">
        <v>299.0</v>
      </c>
      <c r="C300" s="109"/>
      <c r="D300" s="110"/>
      <c r="E300" s="112"/>
      <c r="G300" s="111"/>
      <c r="I300" s="111"/>
      <c r="J300" s="111"/>
      <c r="K300" s="114"/>
      <c r="L300" s="111"/>
    </row>
    <row r="301">
      <c r="A301" s="92">
        <v>300.0</v>
      </c>
      <c r="C301" s="109"/>
      <c r="D301" s="110"/>
      <c r="E301" s="112"/>
      <c r="G301" s="111"/>
      <c r="I301" s="111"/>
      <c r="J301" s="111"/>
      <c r="K301" s="114"/>
      <c r="L301" s="111"/>
    </row>
    <row r="302">
      <c r="A302" s="92">
        <v>301.0</v>
      </c>
      <c r="C302" s="109"/>
      <c r="D302" s="110"/>
      <c r="E302" s="112"/>
      <c r="G302" s="111"/>
      <c r="I302" s="111"/>
      <c r="J302" s="111"/>
      <c r="K302" s="114"/>
      <c r="L302" s="111"/>
    </row>
    <row r="303">
      <c r="A303" s="92">
        <v>302.0</v>
      </c>
      <c r="C303" s="109"/>
      <c r="D303" s="110"/>
      <c r="E303" s="112"/>
      <c r="G303" s="111"/>
      <c r="I303" s="111"/>
      <c r="J303" s="111"/>
      <c r="K303" s="114"/>
      <c r="L303" s="111"/>
    </row>
    <row r="304">
      <c r="A304" s="92">
        <v>303.0</v>
      </c>
      <c r="C304" s="109"/>
      <c r="D304" s="110"/>
      <c r="E304" s="112"/>
      <c r="G304" s="111"/>
      <c r="I304" s="111"/>
      <c r="J304" s="111"/>
      <c r="K304" s="114"/>
      <c r="L304" s="111"/>
    </row>
    <row r="305">
      <c r="A305" s="92">
        <v>304.0</v>
      </c>
      <c r="C305" s="109"/>
      <c r="D305" s="110"/>
      <c r="E305" s="112"/>
      <c r="G305" s="111"/>
      <c r="I305" s="111"/>
      <c r="J305" s="111"/>
      <c r="K305" s="114"/>
      <c r="L305" s="111"/>
    </row>
    <row r="306">
      <c r="A306" s="92">
        <v>305.0</v>
      </c>
      <c r="C306" s="109"/>
      <c r="D306" s="110"/>
      <c r="E306" s="112"/>
      <c r="G306" s="111"/>
      <c r="I306" s="111"/>
      <c r="J306" s="111"/>
      <c r="K306" s="114"/>
      <c r="L306" s="111"/>
    </row>
    <row r="307">
      <c r="A307" s="92">
        <v>306.0</v>
      </c>
      <c r="C307" s="109"/>
      <c r="D307" s="110"/>
      <c r="E307" s="112"/>
      <c r="G307" s="111"/>
      <c r="I307" s="111"/>
      <c r="J307" s="111"/>
      <c r="K307" s="114"/>
      <c r="L307" s="111"/>
    </row>
    <row r="308">
      <c r="A308" s="92">
        <v>307.0</v>
      </c>
      <c r="C308" s="109"/>
      <c r="D308" s="110"/>
      <c r="E308" s="112"/>
      <c r="G308" s="111"/>
      <c r="I308" s="111"/>
      <c r="J308" s="111"/>
      <c r="K308" s="114"/>
      <c r="L308" s="111"/>
    </row>
    <row r="309">
      <c r="A309" s="92">
        <v>308.0</v>
      </c>
      <c r="C309" s="109"/>
      <c r="D309" s="110"/>
      <c r="E309" s="112"/>
      <c r="G309" s="111"/>
      <c r="I309" s="111"/>
      <c r="J309" s="111"/>
      <c r="K309" s="114"/>
      <c r="L309" s="111"/>
    </row>
    <row r="310">
      <c r="A310" s="92">
        <v>309.0</v>
      </c>
      <c r="C310" s="109"/>
      <c r="D310" s="110"/>
      <c r="E310" s="112"/>
      <c r="G310" s="111"/>
      <c r="I310" s="111"/>
      <c r="J310" s="111"/>
      <c r="K310" s="114"/>
      <c r="L310" s="111"/>
    </row>
    <row r="311">
      <c r="A311" s="92">
        <v>310.0</v>
      </c>
      <c r="C311" s="109"/>
      <c r="D311" s="110"/>
      <c r="E311" s="112"/>
      <c r="G311" s="111"/>
      <c r="I311" s="111"/>
      <c r="J311" s="111"/>
      <c r="K311" s="114"/>
      <c r="L311" s="111"/>
    </row>
    <row r="312">
      <c r="A312" s="92">
        <v>311.0</v>
      </c>
      <c r="C312" s="109"/>
      <c r="D312" s="110"/>
      <c r="E312" s="112"/>
      <c r="G312" s="111"/>
      <c r="I312" s="111"/>
      <c r="J312" s="111"/>
      <c r="K312" s="114"/>
      <c r="L312" s="111"/>
    </row>
    <row r="313">
      <c r="A313" s="117"/>
      <c r="C313" s="109"/>
      <c r="D313" s="110"/>
      <c r="E313" s="112"/>
      <c r="G313" s="111"/>
      <c r="I313" s="111"/>
      <c r="J313" s="111"/>
      <c r="K313" s="114"/>
      <c r="L313" s="111"/>
    </row>
    <row r="314">
      <c r="A314" s="117"/>
      <c r="C314" s="109"/>
      <c r="D314" s="110"/>
      <c r="E314" s="112"/>
      <c r="G314" s="111"/>
      <c r="I314" s="111"/>
      <c r="J314" s="111"/>
      <c r="K314" s="114"/>
      <c r="L314" s="111"/>
    </row>
    <row r="315">
      <c r="A315" s="117"/>
      <c r="C315" s="109"/>
      <c r="D315" s="110"/>
      <c r="E315" s="112"/>
      <c r="G315" s="111"/>
      <c r="I315" s="111"/>
      <c r="J315" s="111"/>
      <c r="K315" s="114"/>
      <c r="L315" s="111"/>
    </row>
    <row r="316">
      <c r="A316" s="117"/>
      <c r="C316" s="109"/>
      <c r="D316" s="110"/>
      <c r="E316" s="112"/>
      <c r="G316" s="111"/>
      <c r="I316" s="111"/>
      <c r="J316" s="111"/>
      <c r="K316" s="114"/>
      <c r="L316" s="111"/>
    </row>
    <row r="317">
      <c r="A317" s="117"/>
      <c r="C317" s="109"/>
      <c r="D317" s="110"/>
      <c r="E317" s="112"/>
      <c r="G317" s="111"/>
      <c r="I317" s="111"/>
      <c r="J317" s="111"/>
      <c r="K317" s="114"/>
      <c r="L317" s="111"/>
    </row>
    <row r="318">
      <c r="A318" s="117"/>
      <c r="C318" s="109"/>
      <c r="D318" s="110"/>
      <c r="E318" s="112"/>
      <c r="G318" s="111"/>
      <c r="I318" s="111"/>
      <c r="J318" s="111"/>
      <c r="K318" s="114"/>
      <c r="L318" s="111"/>
    </row>
    <row r="319">
      <c r="A319" s="117"/>
      <c r="C319" s="109"/>
      <c r="D319" s="110"/>
      <c r="E319" s="112"/>
      <c r="G319" s="111"/>
      <c r="I319" s="111"/>
      <c r="J319" s="111"/>
      <c r="K319" s="114"/>
      <c r="L319" s="111"/>
    </row>
    <row r="320">
      <c r="A320" s="117"/>
      <c r="C320" s="109"/>
      <c r="D320" s="110"/>
      <c r="E320" s="112"/>
      <c r="G320" s="111"/>
      <c r="I320" s="111"/>
      <c r="J320" s="111"/>
      <c r="K320" s="114"/>
      <c r="L320" s="111"/>
    </row>
    <row r="321">
      <c r="A321" s="117"/>
      <c r="C321" s="109"/>
      <c r="D321" s="110"/>
      <c r="E321" s="112"/>
      <c r="G321" s="111"/>
      <c r="I321" s="111"/>
      <c r="J321" s="111"/>
      <c r="K321" s="114"/>
      <c r="L321" s="111"/>
    </row>
    <row r="322">
      <c r="A322" s="117"/>
      <c r="C322" s="109"/>
      <c r="D322" s="110"/>
      <c r="E322" s="112"/>
      <c r="G322" s="111"/>
      <c r="I322" s="111"/>
      <c r="J322" s="111"/>
      <c r="K322" s="114"/>
      <c r="L322" s="111"/>
    </row>
    <row r="323">
      <c r="A323" s="117"/>
      <c r="C323" s="109"/>
      <c r="D323" s="110"/>
      <c r="E323" s="112"/>
      <c r="G323" s="111"/>
      <c r="I323" s="111"/>
      <c r="J323" s="111"/>
      <c r="K323" s="114"/>
      <c r="L323" s="111"/>
    </row>
    <row r="324">
      <c r="A324" s="117"/>
      <c r="C324" s="109"/>
      <c r="D324" s="110"/>
      <c r="E324" s="112"/>
      <c r="G324" s="111"/>
      <c r="I324" s="111"/>
      <c r="J324" s="111"/>
      <c r="K324" s="114"/>
      <c r="L324" s="111"/>
    </row>
    <row r="325">
      <c r="A325" s="117"/>
      <c r="C325" s="109"/>
      <c r="D325" s="110"/>
      <c r="E325" s="112"/>
      <c r="G325" s="111"/>
      <c r="I325" s="111"/>
      <c r="J325" s="111"/>
      <c r="K325" s="114"/>
      <c r="L325" s="111"/>
    </row>
    <row r="326">
      <c r="A326" s="117"/>
      <c r="C326" s="109"/>
      <c r="D326" s="110"/>
      <c r="E326" s="112"/>
      <c r="G326" s="111"/>
      <c r="I326" s="111"/>
      <c r="J326" s="111"/>
      <c r="K326" s="114"/>
      <c r="L326" s="111"/>
    </row>
    <row r="327">
      <c r="A327" s="117"/>
      <c r="C327" s="109"/>
      <c r="D327" s="110"/>
      <c r="E327" s="112"/>
      <c r="G327" s="111"/>
      <c r="I327" s="111"/>
      <c r="J327" s="111"/>
      <c r="K327" s="114"/>
      <c r="L327" s="111"/>
    </row>
    <row r="328">
      <c r="A328" s="117"/>
      <c r="C328" s="109"/>
      <c r="D328" s="110"/>
      <c r="E328" s="112"/>
      <c r="G328" s="111"/>
      <c r="I328" s="111"/>
      <c r="J328" s="111"/>
      <c r="K328" s="114"/>
      <c r="L328" s="111"/>
    </row>
    <row r="329">
      <c r="A329" s="117"/>
      <c r="C329" s="109"/>
      <c r="D329" s="110"/>
      <c r="E329" s="112"/>
      <c r="G329" s="111"/>
      <c r="I329" s="111"/>
      <c r="J329" s="111"/>
      <c r="K329" s="114"/>
      <c r="L329" s="111"/>
    </row>
    <row r="330">
      <c r="A330" s="117"/>
      <c r="C330" s="109"/>
      <c r="D330" s="110"/>
      <c r="E330" s="112"/>
      <c r="G330" s="111"/>
      <c r="I330" s="111"/>
      <c r="J330" s="111"/>
      <c r="K330" s="114"/>
      <c r="L330" s="111"/>
    </row>
    <row r="331">
      <c r="A331" s="117"/>
      <c r="C331" s="109"/>
      <c r="D331" s="110"/>
      <c r="E331" s="112"/>
      <c r="G331" s="111"/>
      <c r="I331" s="111"/>
      <c r="J331" s="111"/>
      <c r="K331" s="114"/>
      <c r="L331" s="111"/>
    </row>
    <row r="332">
      <c r="A332" s="117"/>
      <c r="C332" s="109"/>
      <c r="D332" s="110"/>
      <c r="E332" s="112"/>
      <c r="G332" s="111"/>
      <c r="I332" s="111"/>
      <c r="J332" s="111"/>
      <c r="K332" s="114"/>
      <c r="L332" s="111"/>
    </row>
    <row r="333">
      <c r="A333" s="117"/>
      <c r="C333" s="109"/>
      <c r="D333" s="110"/>
      <c r="E333" s="112"/>
      <c r="G333" s="111"/>
      <c r="I333" s="111"/>
      <c r="J333" s="111"/>
      <c r="K333" s="114"/>
      <c r="L333" s="111"/>
    </row>
    <row r="334">
      <c r="A334" s="117"/>
      <c r="C334" s="109"/>
      <c r="D334" s="110"/>
      <c r="E334" s="112"/>
      <c r="G334" s="111"/>
      <c r="I334" s="111"/>
      <c r="J334" s="111"/>
      <c r="K334" s="114"/>
      <c r="L334" s="111"/>
    </row>
    <row r="335">
      <c r="A335" s="117"/>
      <c r="C335" s="109"/>
      <c r="D335" s="110"/>
      <c r="E335" s="112"/>
      <c r="G335" s="111"/>
      <c r="I335" s="111"/>
      <c r="J335" s="111"/>
      <c r="K335" s="114"/>
      <c r="L335" s="111"/>
    </row>
    <row r="336">
      <c r="A336" s="117"/>
      <c r="C336" s="109"/>
      <c r="D336" s="110"/>
      <c r="E336" s="112"/>
      <c r="G336" s="111"/>
      <c r="I336" s="111"/>
      <c r="J336" s="111"/>
      <c r="K336" s="114"/>
      <c r="L336" s="111"/>
    </row>
    <row r="337">
      <c r="A337" s="117"/>
      <c r="C337" s="109"/>
      <c r="D337" s="110"/>
      <c r="E337" s="112"/>
      <c r="G337" s="111"/>
      <c r="I337" s="111"/>
      <c r="J337" s="111"/>
      <c r="K337" s="114"/>
      <c r="L337" s="111"/>
    </row>
    <row r="338">
      <c r="A338" s="117"/>
      <c r="C338" s="109"/>
      <c r="D338" s="110"/>
      <c r="E338" s="112"/>
      <c r="G338" s="111"/>
      <c r="I338" s="111"/>
      <c r="J338" s="111"/>
      <c r="K338" s="114"/>
      <c r="L338" s="111"/>
    </row>
    <row r="339">
      <c r="A339" s="117"/>
      <c r="C339" s="109"/>
      <c r="D339" s="110"/>
      <c r="E339" s="112"/>
      <c r="G339" s="111"/>
      <c r="I339" s="111"/>
      <c r="J339" s="111"/>
      <c r="K339" s="114"/>
      <c r="L339" s="111"/>
    </row>
    <row r="340">
      <c r="A340" s="117"/>
      <c r="C340" s="109"/>
      <c r="D340" s="110"/>
      <c r="E340" s="112"/>
      <c r="G340" s="111"/>
      <c r="I340" s="111"/>
      <c r="J340" s="111"/>
      <c r="K340" s="114"/>
      <c r="L340" s="111"/>
    </row>
    <row r="341">
      <c r="A341" s="117"/>
      <c r="C341" s="109"/>
      <c r="D341" s="110"/>
      <c r="E341" s="112"/>
      <c r="G341" s="111"/>
      <c r="I341" s="111"/>
      <c r="J341" s="111"/>
      <c r="K341" s="114"/>
      <c r="L341" s="111"/>
    </row>
    <row r="342">
      <c r="A342" s="117"/>
      <c r="C342" s="109"/>
      <c r="D342" s="110"/>
      <c r="E342" s="112"/>
      <c r="G342" s="111"/>
      <c r="I342" s="111"/>
      <c r="J342" s="111"/>
      <c r="K342" s="114"/>
      <c r="L342" s="111"/>
    </row>
    <row r="343">
      <c r="A343" s="117"/>
      <c r="C343" s="109"/>
      <c r="D343" s="110"/>
      <c r="E343" s="112"/>
      <c r="G343" s="111"/>
      <c r="I343" s="111"/>
      <c r="J343" s="111"/>
      <c r="K343" s="114"/>
      <c r="L343" s="111"/>
    </row>
    <row r="344">
      <c r="A344" s="117"/>
      <c r="C344" s="109"/>
      <c r="D344" s="110"/>
      <c r="E344" s="112"/>
      <c r="G344" s="111"/>
      <c r="I344" s="111"/>
      <c r="J344" s="111"/>
      <c r="K344" s="114"/>
      <c r="L344" s="111"/>
    </row>
    <row r="345">
      <c r="A345" s="117"/>
      <c r="C345" s="109"/>
      <c r="D345" s="110"/>
      <c r="E345" s="112"/>
      <c r="G345" s="111"/>
      <c r="I345" s="111"/>
      <c r="J345" s="111"/>
      <c r="K345" s="114"/>
      <c r="L345" s="111"/>
    </row>
    <row r="346">
      <c r="A346" s="117"/>
      <c r="C346" s="109"/>
      <c r="D346" s="110"/>
      <c r="E346" s="112"/>
      <c r="G346" s="111"/>
      <c r="I346" s="111"/>
      <c r="J346" s="111"/>
      <c r="K346" s="114"/>
      <c r="L346" s="111"/>
    </row>
    <row r="347">
      <c r="A347" s="117"/>
      <c r="C347" s="109"/>
      <c r="D347" s="110"/>
      <c r="E347" s="112"/>
      <c r="G347" s="111"/>
      <c r="I347" s="111"/>
      <c r="J347" s="111"/>
      <c r="K347" s="114"/>
      <c r="L347" s="111"/>
    </row>
    <row r="348">
      <c r="A348" s="117"/>
      <c r="C348" s="109"/>
      <c r="D348" s="110"/>
      <c r="E348" s="112"/>
      <c r="G348" s="111"/>
      <c r="I348" s="111"/>
      <c r="J348" s="111"/>
      <c r="K348" s="114"/>
      <c r="L348" s="111"/>
    </row>
    <row r="349">
      <c r="A349" s="117"/>
      <c r="C349" s="109"/>
      <c r="D349" s="110"/>
      <c r="E349" s="112"/>
      <c r="G349" s="111"/>
      <c r="I349" s="111"/>
      <c r="J349" s="111"/>
      <c r="K349" s="114"/>
      <c r="L349" s="111"/>
    </row>
    <row r="350">
      <c r="A350" s="117"/>
      <c r="C350" s="109"/>
      <c r="D350" s="110"/>
      <c r="E350" s="112"/>
      <c r="G350" s="111"/>
      <c r="I350" s="111"/>
      <c r="J350" s="111"/>
      <c r="K350" s="114"/>
      <c r="L350" s="111"/>
    </row>
    <row r="351">
      <c r="A351" s="117"/>
      <c r="C351" s="109"/>
      <c r="D351" s="110"/>
      <c r="E351" s="112"/>
      <c r="G351" s="111"/>
      <c r="I351" s="111"/>
      <c r="J351" s="111"/>
      <c r="K351" s="114"/>
      <c r="L351" s="111"/>
    </row>
    <row r="352">
      <c r="A352" s="117"/>
      <c r="C352" s="109"/>
      <c r="D352" s="110"/>
      <c r="E352" s="112"/>
      <c r="G352" s="111"/>
      <c r="I352" s="111"/>
      <c r="J352" s="111"/>
      <c r="K352" s="114"/>
      <c r="L352" s="111"/>
    </row>
    <row r="353">
      <c r="A353" s="117"/>
      <c r="C353" s="109"/>
      <c r="D353" s="110"/>
      <c r="E353" s="112"/>
      <c r="G353" s="111"/>
      <c r="I353" s="111"/>
      <c r="J353" s="111"/>
      <c r="K353" s="114"/>
      <c r="L353" s="111"/>
    </row>
    <row r="354">
      <c r="A354" s="117"/>
      <c r="C354" s="109"/>
      <c r="D354" s="110"/>
      <c r="E354" s="112"/>
      <c r="G354" s="111"/>
      <c r="I354" s="111"/>
      <c r="J354" s="111"/>
      <c r="K354" s="114"/>
      <c r="L354" s="111"/>
    </row>
    <row r="355">
      <c r="A355" s="117"/>
      <c r="C355" s="109"/>
      <c r="D355" s="110"/>
      <c r="E355" s="112"/>
      <c r="G355" s="111"/>
      <c r="I355" s="111"/>
      <c r="J355" s="111"/>
      <c r="K355" s="114"/>
      <c r="L355" s="111"/>
    </row>
    <row r="356">
      <c r="A356" s="117"/>
      <c r="C356" s="109"/>
      <c r="D356" s="110"/>
      <c r="E356" s="112"/>
      <c r="G356" s="111"/>
      <c r="I356" s="111"/>
      <c r="J356" s="111"/>
      <c r="K356" s="114"/>
      <c r="L356" s="111"/>
    </row>
    <row r="357">
      <c r="A357" s="117"/>
      <c r="C357" s="109"/>
      <c r="D357" s="110"/>
      <c r="E357" s="112"/>
      <c r="G357" s="111"/>
      <c r="I357" s="111"/>
      <c r="J357" s="111"/>
      <c r="K357" s="114"/>
      <c r="L357" s="111"/>
    </row>
    <row r="358">
      <c r="A358" s="117"/>
      <c r="C358" s="109"/>
      <c r="D358" s="110"/>
      <c r="E358" s="112"/>
      <c r="G358" s="111"/>
      <c r="I358" s="111"/>
      <c r="J358" s="111"/>
      <c r="K358" s="114"/>
      <c r="L358" s="111"/>
    </row>
    <row r="359">
      <c r="A359" s="117"/>
      <c r="C359" s="109"/>
      <c r="D359" s="110"/>
      <c r="E359" s="112"/>
      <c r="G359" s="111"/>
      <c r="I359" s="111"/>
      <c r="J359" s="111"/>
      <c r="K359" s="114"/>
      <c r="L359" s="111"/>
    </row>
    <row r="360">
      <c r="A360" s="117"/>
      <c r="C360" s="109"/>
      <c r="D360" s="110"/>
      <c r="E360" s="112"/>
      <c r="G360" s="111"/>
      <c r="I360" s="111"/>
      <c r="J360" s="111"/>
      <c r="K360" s="114"/>
      <c r="L360" s="111"/>
    </row>
    <row r="361">
      <c r="A361" s="117"/>
      <c r="C361" s="109"/>
      <c r="D361" s="110"/>
      <c r="E361" s="112"/>
      <c r="G361" s="111"/>
      <c r="I361" s="111"/>
      <c r="J361" s="111"/>
      <c r="K361" s="114"/>
      <c r="L361" s="111"/>
    </row>
    <row r="362">
      <c r="A362" s="117"/>
      <c r="C362" s="109"/>
      <c r="D362" s="110"/>
      <c r="E362" s="112"/>
      <c r="G362" s="111"/>
      <c r="I362" s="111"/>
      <c r="J362" s="111"/>
      <c r="K362" s="114"/>
      <c r="L362" s="111"/>
    </row>
    <row r="363">
      <c r="A363" s="117"/>
      <c r="C363" s="109"/>
      <c r="D363" s="110"/>
      <c r="E363" s="112"/>
      <c r="G363" s="111"/>
      <c r="I363" s="111"/>
      <c r="J363" s="111"/>
      <c r="K363" s="114"/>
      <c r="L363" s="111"/>
    </row>
    <row r="364">
      <c r="A364" s="117"/>
      <c r="C364" s="109"/>
      <c r="D364" s="110"/>
      <c r="E364" s="112"/>
      <c r="G364" s="111"/>
      <c r="I364" s="111"/>
      <c r="J364" s="111"/>
      <c r="K364" s="114"/>
      <c r="L364" s="111"/>
    </row>
    <row r="365">
      <c r="A365" s="117"/>
      <c r="C365" s="109"/>
      <c r="D365" s="110"/>
      <c r="E365" s="112"/>
      <c r="G365" s="111"/>
      <c r="I365" s="111"/>
      <c r="J365" s="111"/>
      <c r="K365" s="114"/>
      <c r="L365" s="111"/>
    </row>
    <row r="366">
      <c r="A366" s="117"/>
      <c r="C366" s="109"/>
      <c r="D366" s="110"/>
      <c r="E366" s="112"/>
      <c r="G366" s="111"/>
      <c r="I366" s="111"/>
      <c r="J366" s="111"/>
      <c r="K366" s="114"/>
      <c r="L366" s="111"/>
    </row>
    <row r="367">
      <c r="A367" s="117"/>
      <c r="C367" s="109"/>
      <c r="D367" s="110"/>
      <c r="E367" s="112"/>
      <c r="G367" s="111"/>
      <c r="I367" s="111"/>
      <c r="J367" s="111"/>
      <c r="K367" s="114"/>
      <c r="L367" s="111"/>
    </row>
    <row r="368">
      <c r="A368" s="117"/>
      <c r="C368" s="109"/>
      <c r="D368" s="110"/>
      <c r="E368" s="112"/>
      <c r="G368" s="111"/>
      <c r="I368" s="111"/>
      <c r="J368" s="111"/>
      <c r="K368" s="114"/>
      <c r="L368" s="111"/>
    </row>
    <row r="369">
      <c r="A369" s="117"/>
      <c r="C369" s="109"/>
      <c r="D369" s="110"/>
      <c r="E369" s="112"/>
      <c r="G369" s="111"/>
      <c r="I369" s="111"/>
      <c r="J369" s="111"/>
      <c r="K369" s="114"/>
      <c r="L369" s="111"/>
    </row>
    <row r="370">
      <c r="A370" s="117"/>
      <c r="C370" s="109"/>
      <c r="D370" s="110"/>
      <c r="E370" s="112"/>
      <c r="G370" s="111"/>
      <c r="I370" s="111"/>
      <c r="J370" s="111"/>
      <c r="K370" s="114"/>
      <c r="L370" s="111"/>
    </row>
    <row r="371">
      <c r="A371" s="117"/>
      <c r="C371" s="109"/>
      <c r="D371" s="110"/>
      <c r="E371" s="112"/>
      <c r="G371" s="111"/>
      <c r="I371" s="111"/>
      <c r="J371" s="111"/>
      <c r="K371" s="114"/>
      <c r="L371" s="111"/>
    </row>
    <row r="372">
      <c r="A372" s="117"/>
      <c r="C372" s="109"/>
      <c r="D372" s="110"/>
      <c r="E372" s="112"/>
      <c r="G372" s="111"/>
      <c r="I372" s="111"/>
      <c r="J372" s="111"/>
      <c r="K372" s="114"/>
      <c r="L372" s="111"/>
    </row>
    <row r="373">
      <c r="A373" s="117"/>
      <c r="C373" s="109"/>
      <c r="D373" s="110"/>
      <c r="E373" s="112"/>
      <c r="G373" s="111"/>
      <c r="I373" s="111"/>
      <c r="J373" s="111"/>
      <c r="K373" s="114"/>
      <c r="L373" s="111"/>
    </row>
    <row r="374">
      <c r="A374" s="117"/>
      <c r="C374" s="109"/>
      <c r="D374" s="110"/>
      <c r="E374" s="112"/>
      <c r="G374" s="111"/>
      <c r="I374" s="111"/>
      <c r="J374" s="111"/>
      <c r="K374" s="114"/>
      <c r="L374" s="111"/>
    </row>
    <row r="375">
      <c r="A375" s="117"/>
      <c r="C375" s="109"/>
      <c r="D375" s="110"/>
      <c r="E375" s="112"/>
      <c r="G375" s="111"/>
      <c r="I375" s="111"/>
      <c r="J375" s="111"/>
      <c r="K375" s="114"/>
      <c r="L375" s="111"/>
    </row>
    <row r="376">
      <c r="A376" s="117"/>
      <c r="C376" s="109"/>
      <c r="D376" s="110"/>
      <c r="E376" s="112"/>
      <c r="G376" s="111"/>
      <c r="I376" s="111"/>
      <c r="J376" s="111"/>
      <c r="K376" s="114"/>
      <c r="L376" s="111"/>
    </row>
    <row r="377">
      <c r="A377" s="117"/>
      <c r="C377" s="109"/>
      <c r="D377" s="110"/>
      <c r="E377" s="112"/>
      <c r="G377" s="111"/>
      <c r="I377" s="111"/>
      <c r="J377" s="111"/>
      <c r="K377" s="114"/>
      <c r="L377" s="111"/>
    </row>
    <row r="378">
      <c r="A378" s="117"/>
      <c r="C378" s="109"/>
      <c r="D378" s="110"/>
      <c r="E378" s="112"/>
      <c r="G378" s="111"/>
      <c r="I378" s="111"/>
      <c r="J378" s="111"/>
      <c r="K378" s="114"/>
      <c r="L378" s="111"/>
    </row>
    <row r="379">
      <c r="A379" s="117"/>
      <c r="C379" s="109"/>
      <c r="D379" s="110"/>
      <c r="E379" s="112"/>
      <c r="G379" s="111"/>
      <c r="I379" s="111"/>
      <c r="J379" s="111"/>
      <c r="K379" s="114"/>
      <c r="L379" s="111"/>
    </row>
    <row r="380">
      <c r="A380" s="117"/>
      <c r="C380" s="109"/>
      <c r="D380" s="110"/>
      <c r="E380" s="112"/>
      <c r="G380" s="111"/>
      <c r="I380" s="111"/>
      <c r="J380" s="111"/>
      <c r="K380" s="114"/>
      <c r="L380" s="111"/>
    </row>
    <row r="381">
      <c r="A381" s="117"/>
      <c r="C381" s="109"/>
      <c r="D381" s="110"/>
      <c r="E381" s="112"/>
      <c r="G381" s="111"/>
      <c r="I381" s="111"/>
      <c r="J381" s="111"/>
      <c r="K381" s="114"/>
      <c r="L381" s="111"/>
    </row>
    <row r="382">
      <c r="A382" s="117"/>
      <c r="C382" s="109"/>
      <c r="D382" s="110"/>
      <c r="E382" s="112"/>
      <c r="G382" s="111"/>
      <c r="I382" s="111"/>
      <c r="J382" s="111"/>
      <c r="K382" s="114"/>
      <c r="L382" s="111"/>
    </row>
    <row r="383">
      <c r="A383" s="117"/>
      <c r="C383" s="109"/>
      <c r="D383" s="110"/>
      <c r="E383" s="112"/>
      <c r="G383" s="111"/>
      <c r="I383" s="111"/>
      <c r="J383" s="111"/>
      <c r="K383" s="114"/>
      <c r="L383" s="111"/>
    </row>
    <row r="384">
      <c r="A384" s="117"/>
      <c r="C384" s="109"/>
      <c r="D384" s="110"/>
      <c r="E384" s="112"/>
      <c r="G384" s="111"/>
      <c r="I384" s="111"/>
      <c r="J384" s="111"/>
      <c r="K384" s="114"/>
      <c r="L384" s="111"/>
    </row>
    <row r="385">
      <c r="A385" s="117"/>
      <c r="C385" s="109"/>
      <c r="D385" s="110"/>
      <c r="E385" s="112"/>
      <c r="G385" s="111"/>
      <c r="I385" s="111"/>
      <c r="J385" s="111"/>
      <c r="K385" s="114"/>
      <c r="L385" s="111"/>
    </row>
    <row r="386">
      <c r="A386" s="117"/>
      <c r="C386" s="109"/>
      <c r="D386" s="110"/>
      <c r="E386" s="112"/>
      <c r="G386" s="111"/>
      <c r="I386" s="111"/>
      <c r="J386" s="111"/>
      <c r="K386" s="114"/>
      <c r="L386" s="111"/>
    </row>
    <row r="387">
      <c r="A387" s="117"/>
      <c r="C387" s="109"/>
      <c r="D387" s="110"/>
      <c r="E387" s="112"/>
      <c r="G387" s="111"/>
      <c r="I387" s="111"/>
      <c r="J387" s="111"/>
      <c r="K387" s="114"/>
      <c r="L387" s="111"/>
    </row>
    <row r="388">
      <c r="A388" s="117"/>
      <c r="C388" s="109"/>
      <c r="D388" s="110"/>
      <c r="E388" s="112"/>
      <c r="G388" s="111"/>
      <c r="I388" s="111"/>
      <c r="J388" s="111"/>
      <c r="K388" s="114"/>
      <c r="L388" s="111"/>
    </row>
    <row r="389">
      <c r="A389" s="117"/>
      <c r="C389" s="109"/>
      <c r="D389" s="110"/>
      <c r="E389" s="112"/>
      <c r="G389" s="111"/>
      <c r="I389" s="111"/>
      <c r="J389" s="111"/>
      <c r="K389" s="114"/>
      <c r="L389" s="111"/>
    </row>
    <row r="390">
      <c r="A390" s="117"/>
      <c r="C390" s="109"/>
      <c r="D390" s="110"/>
      <c r="E390" s="112"/>
      <c r="G390" s="111"/>
      <c r="I390" s="111"/>
      <c r="J390" s="111"/>
      <c r="K390" s="114"/>
      <c r="L390" s="111"/>
    </row>
    <row r="391">
      <c r="A391" s="117"/>
      <c r="C391" s="109"/>
      <c r="D391" s="110"/>
      <c r="E391" s="112"/>
      <c r="G391" s="111"/>
      <c r="I391" s="111"/>
      <c r="J391" s="111"/>
      <c r="K391" s="114"/>
      <c r="L391" s="111"/>
    </row>
    <row r="392">
      <c r="A392" s="117"/>
      <c r="C392" s="109"/>
      <c r="D392" s="110"/>
      <c r="E392" s="112"/>
      <c r="G392" s="111"/>
      <c r="I392" s="111"/>
      <c r="J392" s="111"/>
      <c r="K392" s="114"/>
      <c r="L392" s="111"/>
    </row>
    <row r="393">
      <c r="A393" s="117"/>
      <c r="C393" s="109"/>
      <c r="D393" s="110"/>
      <c r="E393" s="112"/>
      <c r="G393" s="111"/>
      <c r="I393" s="111"/>
      <c r="J393" s="111"/>
      <c r="K393" s="114"/>
      <c r="L393" s="111"/>
    </row>
    <row r="394">
      <c r="A394" s="117"/>
      <c r="C394" s="109"/>
      <c r="D394" s="110"/>
      <c r="E394" s="112"/>
      <c r="G394" s="111"/>
      <c r="I394" s="111"/>
      <c r="J394" s="111"/>
      <c r="K394" s="114"/>
      <c r="L394" s="111"/>
    </row>
    <row r="395">
      <c r="A395" s="117"/>
      <c r="C395" s="109"/>
      <c r="D395" s="110"/>
      <c r="E395" s="112"/>
      <c r="G395" s="111"/>
      <c r="I395" s="111"/>
      <c r="J395" s="111"/>
      <c r="K395" s="114"/>
      <c r="L395" s="111"/>
    </row>
    <row r="396">
      <c r="A396" s="117"/>
      <c r="C396" s="109"/>
      <c r="D396" s="110"/>
      <c r="E396" s="112"/>
      <c r="G396" s="111"/>
      <c r="I396" s="111"/>
      <c r="J396" s="111"/>
      <c r="K396" s="114"/>
      <c r="L396" s="111"/>
    </row>
    <row r="397">
      <c r="A397" s="117"/>
      <c r="C397" s="109"/>
      <c r="D397" s="110"/>
      <c r="E397" s="112"/>
      <c r="G397" s="111"/>
      <c r="I397" s="111"/>
      <c r="J397" s="111"/>
      <c r="K397" s="114"/>
      <c r="L397" s="111"/>
    </row>
    <row r="398">
      <c r="A398" s="117"/>
      <c r="C398" s="109"/>
      <c r="D398" s="110"/>
      <c r="E398" s="112"/>
      <c r="G398" s="111"/>
      <c r="I398" s="111"/>
      <c r="J398" s="111"/>
      <c r="K398" s="114"/>
      <c r="L398" s="111"/>
    </row>
    <row r="399">
      <c r="A399" s="117"/>
      <c r="C399" s="109"/>
      <c r="D399" s="110"/>
      <c r="E399" s="112"/>
      <c r="G399" s="111"/>
      <c r="I399" s="111"/>
      <c r="J399" s="111"/>
      <c r="K399" s="114"/>
      <c r="L399" s="111"/>
    </row>
    <row r="400">
      <c r="A400" s="117"/>
      <c r="C400" s="109"/>
      <c r="D400" s="110"/>
      <c r="E400" s="112"/>
      <c r="G400" s="111"/>
      <c r="I400" s="111"/>
      <c r="J400" s="111"/>
      <c r="K400" s="114"/>
      <c r="L400" s="111"/>
    </row>
    <row r="401">
      <c r="A401" s="117"/>
      <c r="C401" s="109"/>
      <c r="D401" s="110"/>
      <c r="E401" s="112"/>
      <c r="G401" s="111"/>
      <c r="I401" s="111"/>
      <c r="J401" s="111"/>
      <c r="K401" s="114"/>
      <c r="L401" s="111"/>
    </row>
    <row r="402">
      <c r="A402" s="117"/>
      <c r="C402" s="109"/>
      <c r="D402" s="110"/>
      <c r="E402" s="112"/>
      <c r="G402" s="111"/>
      <c r="I402" s="111"/>
      <c r="J402" s="111"/>
      <c r="K402" s="114"/>
      <c r="L402" s="111"/>
    </row>
    <row r="403">
      <c r="A403" s="117"/>
      <c r="C403" s="109"/>
      <c r="D403" s="110"/>
      <c r="E403" s="112"/>
      <c r="G403" s="111"/>
      <c r="I403" s="111"/>
      <c r="J403" s="111"/>
      <c r="K403" s="114"/>
      <c r="L403" s="111"/>
    </row>
    <row r="404">
      <c r="A404" s="117"/>
      <c r="C404" s="109"/>
      <c r="D404" s="110"/>
      <c r="E404" s="112"/>
      <c r="G404" s="111"/>
      <c r="I404" s="111"/>
      <c r="J404" s="111"/>
      <c r="K404" s="114"/>
      <c r="L404" s="111"/>
    </row>
    <row r="405">
      <c r="A405" s="117"/>
      <c r="C405" s="109"/>
      <c r="D405" s="110"/>
      <c r="E405" s="112"/>
      <c r="G405" s="111"/>
      <c r="I405" s="111"/>
      <c r="J405" s="111"/>
      <c r="K405" s="114"/>
      <c r="L405" s="111"/>
    </row>
    <row r="406">
      <c r="A406" s="117"/>
      <c r="C406" s="109"/>
      <c r="D406" s="110"/>
      <c r="E406" s="112"/>
      <c r="G406" s="111"/>
      <c r="I406" s="111"/>
      <c r="J406" s="111"/>
      <c r="K406" s="114"/>
      <c r="L406" s="111"/>
    </row>
    <row r="407">
      <c r="A407" s="117"/>
      <c r="C407" s="109"/>
      <c r="D407" s="110"/>
      <c r="E407" s="112"/>
      <c r="G407" s="111"/>
      <c r="I407" s="111"/>
      <c r="J407" s="111"/>
      <c r="K407" s="114"/>
      <c r="L407" s="111"/>
    </row>
    <row r="408">
      <c r="A408" s="117"/>
      <c r="C408" s="109"/>
      <c r="D408" s="110"/>
      <c r="E408" s="112"/>
      <c r="G408" s="111"/>
      <c r="I408" s="111"/>
      <c r="J408" s="111"/>
      <c r="K408" s="114"/>
      <c r="L408" s="111"/>
    </row>
    <row r="409">
      <c r="A409" s="117"/>
      <c r="C409" s="109"/>
      <c r="D409" s="110"/>
      <c r="E409" s="112"/>
      <c r="G409" s="111"/>
      <c r="I409" s="111"/>
      <c r="J409" s="111"/>
      <c r="K409" s="114"/>
      <c r="L409" s="111"/>
    </row>
    <row r="410">
      <c r="A410" s="117"/>
      <c r="C410" s="109"/>
      <c r="D410" s="110"/>
      <c r="E410" s="112"/>
      <c r="G410" s="111"/>
      <c r="I410" s="111"/>
      <c r="J410" s="111"/>
      <c r="K410" s="114"/>
      <c r="L410" s="111"/>
    </row>
    <row r="411">
      <c r="A411" s="117"/>
      <c r="C411" s="109"/>
      <c r="D411" s="110"/>
      <c r="E411" s="112"/>
      <c r="G411" s="111"/>
      <c r="I411" s="111"/>
      <c r="J411" s="111"/>
      <c r="K411" s="114"/>
      <c r="L411" s="111"/>
    </row>
    <row r="412">
      <c r="A412" s="117"/>
      <c r="C412" s="109"/>
      <c r="D412" s="110"/>
      <c r="E412" s="112"/>
      <c r="G412" s="111"/>
      <c r="I412" s="111"/>
      <c r="J412" s="111"/>
      <c r="K412" s="114"/>
      <c r="L412" s="111"/>
    </row>
    <row r="413">
      <c r="A413" s="117"/>
      <c r="C413" s="109"/>
      <c r="D413" s="110"/>
      <c r="E413" s="112"/>
      <c r="G413" s="111"/>
      <c r="I413" s="111"/>
      <c r="J413" s="111"/>
      <c r="K413" s="114"/>
      <c r="L413" s="111"/>
    </row>
    <row r="414">
      <c r="A414" s="117"/>
      <c r="C414" s="109"/>
      <c r="D414" s="110"/>
      <c r="E414" s="112"/>
      <c r="G414" s="111"/>
      <c r="I414" s="111"/>
      <c r="J414" s="111"/>
      <c r="K414" s="114"/>
      <c r="L414" s="111"/>
    </row>
    <row r="415">
      <c r="A415" s="117"/>
      <c r="C415" s="109"/>
      <c r="D415" s="110"/>
      <c r="E415" s="112"/>
      <c r="G415" s="111"/>
      <c r="I415" s="111"/>
      <c r="J415" s="111"/>
      <c r="K415" s="114"/>
      <c r="L415" s="111"/>
    </row>
    <row r="416">
      <c r="A416" s="117"/>
      <c r="C416" s="109"/>
      <c r="D416" s="110"/>
      <c r="E416" s="112"/>
      <c r="G416" s="111"/>
      <c r="I416" s="111"/>
      <c r="J416" s="111"/>
      <c r="K416" s="114"/>
      <c r="L416" s="111"/>
    </row>
    <row r="417">
      <c r="A417" s="117"/>
      <c r="C417" s="109"/>
      <c r="D417" s="110"/>
      <c r="E417" s="112"/>
      <c r="G417" s="111"/>
      <c r="I417" s="111"/>
      <c r="J417" s="111"/>
      <c r="K417" s="114"/>
      <c r="L417" s="111"/>
    </row>
    <row r="418">
      <c r="A418" s="117"/>
      <c r="C418" s="109"/>
      <c r="D418" s="110"/>
      <c r="E418" s="112"/>
      <c r="G418" s="111"/>
      <c r="I418" s="111"/>
      <c r="J418" s="111"/>
      <c r="K418" s="114"/>
      <c r="L418" s="111"/>
    </row>
    <row r="419">
      <c r="A419" s="117"/>
      <c r="C419" s="109"/>
      <c r="D419" s="110"/>
      <c r="E419" s="112"/>
      <c r="G419" s="111"/>
      <c r="I419" s="111"/>
      <c r="J419" s="111"/>
      <c r="K419" s="114"/>
      <c r="L419" s="111"/>
    </row>
    <row r="420">
      <c r="A420" s="117"/>
      <c r="C420" s="109"/>
      <c r="D420" s="110"/>
      <c r="E420" s="112"/>
      <c r="G420" s="111"/>
      <c r="I420" s="111"/>
      <c r="J420" s="111"/>
      <c r="K420" s="114"/>
      <c r="L420" s="111"/>
    </row>
    <row r="421">
      <c r="A421" s="117"/>
      <c r="C421" s="109"/>
      <c r="D421" s="110"/>
      <c r="E421" s="112"/>
      <c r="G421" s="111"/>
      <c r="I421" s="111"/>
      <c r="J421" s="111"/>
      <c r="K421" s="114"/>
      <c r="L421" s="111"/>
    </row>
    <row r="422">
      <c r="A422" s="117"/>
      <c r="C422" s="109"/>
      <c r="D422" s="110"/>
      <c r="E422" s="112"/>
      <c r="G422" s="111"/>
      <c r="I422" s="111"/>
      <c r="J422" s="111"/>
      <c r="K422" s="114"/>
      <c r="L422" s="111"/>
    </row>
    <row r="423">
      <c r="A423" s="117"/>
      <c r="C423" s="109"/>
      <c r="D423" s="110"/>
      <c r="E423" s="112"/>
      <c r="G423" s="111"/>
      <c r="I423" s="111"/>
      <c r="J423" s="111"/>
      <c r="K423" s="114"/>
      <c r="L423" s="111"/>
    </row>
    <row r="424">
      <c r="A424" s="117"/>
      <c r="C424" s="109"/>
      <c r="D424" s="110"/>
      <c r="E424" s="112"/>
      <c r="G424" s="111"/>
      <c r="I424" s="111"/>
      <c r="J424" s="111"/>
      <c r="K424" s="114"/>
      <c r="L424" s="111"/>
    </row>
    <row r="425">
      <c r="A425" s="117"/>
      <c r="C425" s="109"/>
      <c r="D425" s="110"/>
      <c r="E425" s="112"/>
      <c r="G425" s="111"/>
      <c r="I425" s="111"/>
      <c r="J425" s="111"/>
      <c r="K425" s="114"/>
      <c r="L425" s="111"/>
    </row>
    <row r="426">
      <c r="A426" s="117"/>
      <c r="C426" s="109"/>
      <c r="D426" s="110"/>
      <c r="E426" s="112"/>
      <c r="G426" s="111"/>
      <c r="I426" s="111"/>
      <c r="J426" s="111"/>
      <c r="K426" s="114"/>
      <c r="L426" s="111"/>
    </row>
    <row r="427">
      <c r="A427" s="117"/>
      <c r="C427" s="109"/>
      <c r="D427" s="110"/>
      <c r="E427" s="112"/>
      <c r="G427" s="111"/>
      <c r="I427" s="111"/>
      <c r="J427" s="111"/>
      <c r="K427" s="114"/>
      <c r="L427" s="111"/>
    </row>
    <row r="428">
      <c r="A428" s="117"/>
      <c r="C428" s="109"/>
      <c r="D428" s="110"/>
      <c r="E428" s="112"/>
      <c r="G428" s="111"/>
      <c r="I428" s="111"/>
      <c r="J428" s="111"/>
      <c r="K428" s="114"/>
      <c r="L428" s="111"/>
    </row>
    <row r="429">
      <c r="A429" s="117"/>
      <c r="C429" s="109"/>
      <c r="D429" s="110"/>
      <c r="E429" s="112"/>
      <c r="G429" s="111"/>
      <c r="I429" s="111"/>
      <c r="J429" s="111"/>
      <c r="K429" s="114"/>
      <c r="L429" s="111"/>
    </row>
    <row r="430">
      <c r="A430" s="117"/>
      <c r="C430" s="109"/>
      <c r="D430" s="110"/>
      <c r="E430" s="112"/>
      <c r="G430" s="111"/>
      <c r="I430" s="111"/>
      <c r="J430" s="111"/>
      <c r="K430" s="114"/>
      <c r="L430" s="111"/>
    </row>
    <row r="431">
      <c r="A431" s="117"/>
      <c r="C431" s="109"/>
      <c r="D431" s="110"/>
      <c r="E431" s="112"/>
      <c r="G431" s="111"/>
      <c r="I431" s="111"/>
      <c r="J431" s="111"/>
      <c r="K431" s="114"/>
      <c r="L431" s="111"/>
    </row>
    <row r="432">
      <c r="A432" s="117"/>
      <c r="C432" s="109"/>
      <c r="D432" s="110"/>
      <c r="E432" s="112"/>
      <c r="G432" s="111"/>
      <c r="I432" s="111"/>
      <c r="J432" s="111"/>
      <c r="K432" s="114"/>
      <c r="L432" s="111"/>
    </row>
    <row r="433">
      <c r="A433" s="117"/>
      <c r="C433" s="109"/>
      <c r="D433" s="110"/>
      <c r="E433" s="112"/>
      <c r="G433" s="111"/>
      <c r="I433" s="111"/>
      <c r="J433" s="111"/>
      <c r="K433" s="114"/>
      <c r="L433" s="111"/>
    </row>
    <row r="434">
      <c r="A434" s="117"/>
      <c r="C434" s="109"/>
      <c r="D434" s="110"/>
      <c r="E434" s="112"/>
      <c r="G434" s="111"/>
      <c r="I434" s="111"/>
      <c r="J434" s="111"/>
      <c r="K434" s="114"/>
      <c r="L434" s="111"/>
    </row>
    <row r="435">
      <c r="A435" s="117"/>
      <c r="C435" s="109"/>
      <c r="D435" s="110"/>
      <c r="E435" s="112"/>
      <c r="G435" s="111"/>
      <c r="I435" s="111"/>
      <c r="J435" s="111"/>
      <c r="K435" s="114"/>
      <c r="L435" s="111"/>
    </row>
    <row r="436">
      <c r="A436" s="117"/>
      <c r="C436" s="109"/>
      <c r="D436" s="110"/>
      <c r="E436" s="112"/>
      <c r="G436" s="111"/>
      <c r="I436" s="111"/>
      <c r="J436" s="111"/>
      <c r="K436" s="114"/>
      <c r="L436" s="111"/>
    </row>
    <row r="437">
      <c r="A437" s="117"/>
      <c r="C437" s="109"/>
      <c r="D437" s="110"/>
      <c r="E437" s="112"/>
      <c r="G437" s="111"/>
      <c r="I437" s="111"/>
      <c r="J437" s="111"/>
      <c r="K437" s="114"/>
      <c r="L437" s="111"/>
    </row>
    <row r="438">
      <c r="A438" s="117"/>
      <c r="C438" s="109"/>
      <c r="D438" s="110"/>
      <c r="E438" s="112"/>
      <c r="G438" s="111"/>
      <c r="I438" s="111"/>
      <c r="J438" s="111"/>
      <c r="K438" s="114"/>
      <c r="L438" s="111"/>
    </row>
    <row r="439">
      <c r="A439" s="117"/>
      <c r="C439" s="109"/>
      <c r="D439" s="110"/>
      <c r="E439" s="112"/>
      <c r="G439" s="111"/>
      <c r="I439" s="111"/>
      <c r="J439" s="111"/>
      <c r="K439" s="114"/>
      <c r="L439" s="111"/>
    </row>
    <row r="440">
      <c r="A440" s="117"/>
      <c r="C440" s="109"/>
      <c r="D440" s="110"/>
      <c r="E440" s="112"/>
      <c r="G440" s="111"/>
      <c r="I440" s="111"/>
      <c r="J440" s="111"/>
      <c r="K440" s="114"/>
      <c r="L440" s="111"/>
    </row>
    <row r="441">
      <c r="A441" s="117"/>
      <c r="C441" s="109"/>
      <c r="D441" s="110"/>
      <c r="E441" s="112"/>
      <c r="G441" s="111"/>
      <c r="I441" s="111"/>
      <c r="J441" s="111"/>
      <c r="K441" s="114"/>
      <c r="L441" s="111"/>
    </row>
    <row r="442">
      <c r="A442" s="117"/>
      <c r="C442" s="109"/>
      <c r="D442" s="110"/>
      <c r="E442" s="112"/>
      <c r="G442" s="111"/>
      <c r="I442" s="111"/>
      <c r="J442" s="111"/>
      <c r="K442" s="114"/>
      <c r="L442" s="111"/>
    </row>
    <row r="443">
      <c r="A443" s="117"/>
      <c r="C443" s="109"/>
      <c r="D443" s="110"/>
      <c r="E443" s="112"/>
      <c r="G443" s="111"/>
      <c r="I443" s="111"/>
      <c r="J443" s="111"/>
      <c r="K443" s="114"/>
      <c r="L443" s="111"/>
    </row>
    <row r="444">
      <c r="A444" s="117"/>
      <c r="C444" s="109"/>
      <c r="D444" s="110"/>
      <c r="E444" s="112"/>
      <c r="G444" s="111"/>
      <c r="I444" s="111"/>
      <c r="J444" s="111"/>
      <c r="K444" s="114"/>
      <c r="L444" s="111"/>
    </row>
    <row r="445">
      <c r="A445" s="117"/>
      <c r="C445" s="109"/>
      <c r="D445" s="110"/>
      <c r="E445" s="112"/>
      <c r="G445" s="111"/>
      <c r="I445" s="111"/>
      <c r="J445" s="111"/>
      <c r="K445" s="114"/>
      <c r="L445" s="111"/>
    </row>
    <row r="446">
      <c r="A446" s="117"/>
      <c r="C446" s="109"/>
      <c r="D446" s="110"/>
      <c r="E446" s="112"/>
      <c r="G446" s="111"/>
      <c r="I446" s="111"/>
      <c r="J446" s="111"/>
      <c r="K446" s="114"/>
      <c r="L446" s="111"/>
    </row>
    <row r="447">
      <c r="A447" s="117"/>
      <c r="C447" s="109"/>
      <c r="D447" s="110"/>
      <c r="E447" s="112"/>
      <c r="G447" s="111"/>
      <c r="I447" s="111"/>
      <c r="J447" s="111"/>
      <c r="K447" s="114"/>
      <c r="L447" s="111"/>
    </row>
    <row r="448">
      <c r="A448" s="117"/>
      <c r="C448" s="109"/>
      <c r="D448" s="110"/>
      <c r="E448" s="112"/>
      <c r="G448" s="111"/>
      <c r="I448" s="111"/>
      <c r="J448" s="111"/>
      <c r="K448" s="114"/>
      <c r="L448" s="111"/>
    </row>
    <row r="449">
      <c r="A449" s="117"/>
      <c r="C449" s="109"/>
      <c r="D449" s="110"/>
      <c r="E449" s="112"/>
      <c r="G449" s="111"/>
      <c r="I449" s="111"/>
      <c r="J449" s="111"/>
      <c r="K449" s="114"/>
      <c r="L449" s="111"/>
    </row>
    <row r="450">
      <c r="A450" s="117"/>
      <c r="C450" s="109"/>
      <c r="D450" s="110"/>
      <c r="E450" s="112"/>
      <c r="G450" s="111"/>
      <c r="I450" s="111"/>
      <c r="J450" s="111"/>
      <c r="K450" s="114"/>
      <c r="L450" s="111"/>
    </row>
    <row r="451">
      <c r="A451" s="117"/>
      <c r="C451" s="109"/>
      <c r="D451" s="110"/>
      <c r="E451" s="112"/>
      <c r="G451" s="111"/>
      <c r="I451" s="111"/>
      <c r="J451" s="111"/>
      <c r="K451" s="114"/>
      <c r="L451" s="111"/>
    </row>
    <row r="452">
      <c r="A452" s="117"/>
      <c r="C452" s="109"/>
      <c r="D452" s="110"/>
      <c r="E452" s="112"/>
      <c r="G452" s="111"/>
      <c r="I452" s="111"/>
      <c r="J452" s="111"/>
      <c r="K452" s="114"/>
      <c r="L452" s="111"/>
    </row>
    <row r="453">
      <c r="A453" s="117"/>
      <c r="C453" s="109"/>
      <c r="D453" s="110"/>
      <c r="E453" s="112"/>
      <c r="G453" s="111"/>
      <c r="I453" s="111"/>
      <c r="J453" s="111"/>
      <c r="K453" s="114"/>
      <c r="L453" s="111"/>
    </row>
    <row r="454">
      <c r="A454" s="117"/>
      <c r="C454" s="109"/>
      <c r="D454" s="110"/>
      <c r="E454" s="112"/>
      <c r="G454" s="111"/>
      <c r="I454" s="111"/>
      <c r="J454" s="111"/>
      <c r="K454" s="114"/>
      <c r="L454" s="111"/>
    </row>
    <row r="455">
      <c r="A455" s="117"/>
      <c r="C455" s="109"/>
      <c r="D455" s="110"/>
      <c r="E455" s="112"/>
      <c r="G455" s="111"/>
      <c r="I455" s="111"/>
      <c r="J455" s="111"/>
      <c r="K455" s="114"/>
      <c r="L455" s="111"/>
    </row>
    <row r="456">
      <c r="A456" s="117"/>
      <c r="C456" s="109"/>
      <c r="D456" s="110"/>
      <c r="E456" s="112"/>
      <c r="G456" s="111"/>
      <c r="I456" s="111"/>
      <c r="J456" s="111"/>
      <c r="K456" s="114"/>
      <c r="L456" s="111"/>
    </row>
    <row r="457">
      <c r="A457" s="117"/>
      <c r="C457" s="109"/>
      <c r="D457" s="110"/>
      <c r="E457" s="112"/>
      <c r="G457" s="111"/>
      <c r="I457" s="111"/>
      <c r="J457" s="111"/>
      <c r="K457" s="114"/>
      <c r="L457" s="111"/>
    </row>
    <row r="458">
      <c r="A458" s="117"/>
      <c r="C458" s="109"/>
      <c r="D458" s="110"/>
      <c r="E458" s="112"/>
      <c r="G458" s="111"/>
      <c r="I458" s="111"/>
      <c r="J458" s="111"/>
      <c r="K458" s="114"/>
      <c r="L458" s="111"/>
    </row>
    <row r="459">
      <c r="A459" s="117"/>
      <c r="C459" s="109"/>
      <c r="D459" s="110"/>
      <c r="E459" s="112"/>
      <c r="G459" s="111"/>
      <c r="I459" s="111"/>
      <c r="J459" s="111"/>
      <c r="K459" s="114"/>
      <c r="L459" s="111"/>
    </row>
    <row r="460">
      <c r="A460" s="117"/>
      <c r="C460" s="109"/>
      <c r="D460" s="110"/>
      <c r="E460" s="112"/>
      <c r="G460" s="111"/>
      <c r="I460" s="111"/>
      <c r="J460" s="111"/>
      <c r="K460" s="114"/>
      <c r="L460" s="111"/>
    </row>
    <row r="461">
      <c r="A461" s="117"/>
      <c r="C461" s="109"/>
      <c r="D461" s="110"/>
      <c r="E461" s="112"/>
      <c r="G461" s="111"/>
      <c r="I461" s="111"/>
      <c r="J461" s="111"/>
      <c r="K461" s="114"/>
      <c r="L461" s="111"/>
    </row>
    <row r="462">
      <c r="A462" s="117"/>
      <c r="C462" s="109"/>
      <c r="D462" s="110"/>
      <c r="E462" s="112"/>
      <c r="G462" s="111"/>
      <c r="I462" s="111"/>
      <c r="J462" s="111"/>
      <c r="K462" s="114"/>
      <c r="L462" s="111"/>
    </row>
    <row r="463">
      <c r="A463" s="117"/>
      <c r="C463" s="109"/>
      <c r="D463" s="110"/>
      <c r="E463" s="112"/>
      <c r="G463" s="111"/>
      <c r="I463" s="111"/>
      <c r="J463" s="111"/>
      <c r="K463" s="114"/>
      <c r="L463" s="111"/>
    </row>
    <row r="464">
      <c r="A464" s="117"/>
      <c r="C464" s="109"/>
      <c r="D464" s="110"/>
      <c r="E464" s="112"/>
      <c r="G464" s="111"/>
      <c r="I464" s="111"/>
      <c r="J464" s="111"/>
      <c r="K464" s="114"/>
      <c r="L464" s="111"/>
    </row>
    <row r="465">
      <c r="A465" s="117"/>
      <c r="C465" s="109"/>
      <c r="D465" s="110"/>
      <c r="E465" s="112"/>
      <c r="G465" s="111"/>
      <c r="I465" s="111"/>
      <c r="J465" s="111"/>
      <c r="K465" s="114"/>
      <c r="L465" s="111"/>
    </row>
    <row r="466">
      <c r="A466" s="117"/>
      <c r="C466" s="109"/>
      <c r="D466" s="110"/>
      <c r="E466" s="112"/>
      <c r="G466" s="111"/>
      <c r="I466" s="111"/>
      <c r="J466" s="111"/>
      <c r="K466" s="114"/>
      <c r="L466" s="111"/>
    </row>
    <row r="467">
      <c r="A467" s="117"/>
      <c r="C467" s="109"/>
      <c r="D467" s="110"/>
      <c r="E467" s="112"/>
      <c r="G467" s="111"/>
      <c r="I467" s="111"/>
      <c r="J467" s="111"/>
      <c r="K467" s="114"/>
      <c r="L467" s="111"/>
    </row>
    <row r="468">
      <c r="A468" s="117"/>
      <c r="C468" s="109"/>
      <c r="D468" s="110"/>
      <c r="E468" s="112"/>
      <c r="G468" s="111"/>
      <c r="I468" s="111"/>
      <c r="J468" s="111"/>
      <c r="K468" s="114"/>
      <c r="L468" s="111"/>
    </row>
    <row r="469">
      <c r="A469" s="117"/>
      <c r="C469" s="109"/>
      <c r="D469" s="110"/>
      <c r="E469" s="112"/>
      <c r="G469" s="111"/>
      <c r="I469" s="111"/>
      <c r="J469" s="111"/>
      <c r="K469" s="114"/>
      <c r="L469" s="111"/>
    </row>
    <row r="470">
      <c r="A470" s="117"/>
      <c r="C470" s="109"/>
      <c r="D470" s="110"/>
      <c r="E470" s="112"/>
      <c r="G470" s="111"/>
      <c r="I470" s="111"/>
      <c r="J470" s="111"/>
      <c r="K470" s="114"/>
      <c r="L470" s="111"/>
    </row>
    <row r="471">
      <c r="A471" s="117"/>
      <c r="C471" s="109"/>
      <c r="D471" s="110"/>
      <c r="E471" s="112"/>
      <c r="G471" s="111"/>
      <c r="I471" s="111"/>
      <c r="J471" s="111"/>
      <c r="K471" s="114"/>
      <c r="L471" s="111"/>
    </row>
    <row r="472">
      <c r="A472" s="117"/>
      <c r="C472" s="109"/>
      <c r="D472" s="110"/>
      <c r="E472" s="112"/>
      <c r="G472" s="111"/>
      <c r="I472" s="111"/>
      <c r="J472" s="111"/>
      <c r="K472" s="114"/>
      <c r="L472" s="111"/>
    </row>
    <row r="473">
      <c r="A473" s="117"/>
      <c r="C473" s="109"/>
      <c r="D473" s="110"/>
      <c r="E473" s="112"/>
      <c r="G473" s="111"/>
      <c r="I473" s="111"/>
      <c r="J473" s="111"/>
      <c r="K473" s="114"/>
      <c r="L473" s="111"/>
    </row>
    <row r="474">
      <c r="A474" s="117"/>
      <c r="C474" s="109"/>
      <c r="D474" s="110"/>
      <c r="E474" s="112"/>
      <c r="G474" s="111"/>
      <c r="I474" s="111"/>
      <c r="J474" s="111"/>
      <c r="K474" s="114"/>
      <c r="L474" s="111"/>
    </row>
    <row r="475">
      <c r="A475" s="117"/>
      <c r="C475" s="109"/>
      <c r="D475" s="110"/>
      <c r="E475" s="112"/>
      <c r="G475" s="111"/>
      <c r="I475" s="111"/>
      <c r="J475" s="111"/>
      <c r="K475" s="114"/>
      <c r="L475" s="111"/>
    </row>
    <row r="476">
      <c r="A476" s="117"/>
      <c r="C476" s="109"/>
      <c r="D476" s="110"/>
      <c r="E476" s="112"/>
      <c r="G476" s="111"/>
      <c r="I476" s="111"/>
      <c r="J476" s="111"/>
      <c r="K476" s="114"/>
      <c r="L476" s="111"/>
    </row>
    <row r="477">
      <c r="A477" s="117"/>
      <c r="C477" s="109"/>
      <c r="D477" s="110"/>
      <c r="E477" s="112"/>
      <c r="G477" s="111"/>
      <c r="I477" s="111"/>
      <c r="J477" s="111"/>
      <c r="K477" s="114"/>
      <c r="L477" s="111"/>
    </row>
    <row r="478">
      <c r="A478" s="117"/>
      <c r="C478" s="109"/>
      <c r="D478" s="110"/>
      <c r="E478" s="112"/>
      <c r="G478" s="111"/>
      <c r="I478" s="111"/>
      <c r="J478" s="111"/>
      <c r="K478" s="114"/>
      <c r="L478" s="111"/>
    </row>
    <row r="479">
      <c r="A479" s="117"/>
      <c r="C479" s="109"/>
      <c r="D479" s="110"/>
      <c r="E479" s="112"/>
      <c r="G479" s="111"/>
      <c r="I479" s="111"/>
      <c r="J479" s="111"/>
      <c r="K479" s="114"/>
      <c r="L479" s="111"/>
    </row>
    <row r="480">
      <c r="A480" s="117"/>
      <c r="C480" s="109"/>
      <c r="D480" s="110"/>
      <c r="E480" s="112"/>
      <c r="G480" s="111"/>
      <c r="I480" s="111"/>
      <c r="J480" s="111"/>
      <c r="K480" s="114"/>
      <c r="L480" s="111"/>
    </row>
    <row r="481">
      <c r="A481" s="117"/>
      <c r="C481" s="109"/>
      <c r="D481" s="110"/>
      <c r="E481" s="112"/>
      <c r="G481" s="111"/>
      <c r="I481" s="111"/>
      <c r="J481" s="111"/>
      <c r="K481" s="114"/>
      <c r="L481" s="111"/>
    </row>
    <row r="482">
      <c r="A482" s="117"/>
      <c r="C482" s="109"/>
      <c r="D482" s="110"/>
      <c r="E482" s="112"/>
      <c r="G482" s="111"/>
      <c r="I482" s="111"/>
      <c r="J482" s="111"/>
      <c r="K482" s="114"/>
      <c r="L482" s="111"/>
    </row>
    <row r="483">
      <c r="A483" s="117"/>
      <c r="C483" s="109"/>
      <c r="D483" s="110"/>
      <c r="E483" s="112"/>
      <c r="G483" s="111"/>
      <c r="I483" s="111"/>
      <c r="J483" s="111"/>
      <c r="K483" s="114"/>
      <c r="L483" s="111"/>
    </row>
    <row r="484">
      <c r="A484" s="117"/>
      <c r="C484" s="109"/>
      <c r="D484" s="110"/>
      <c r="E484" s="112"/>
      <c r="G484" s="111"/>
      <c r="I484" s="111"/>
      <c r="J484" s="111"/>
      <c r="K484" s="114"/>
      <c r="L484" s="111"/>
    </row>
    <row r="485">
      <c r="A485" s="117"/>
      <c r="C485" s="109"/>
      <c r="D485" s="110"/>
      <c r="E485" s="112"/>
      <c r="G485" s="111"/>
      <c r="I485" s="111"/>
      <c r="J485" s="111"/>
      <c r="K485" s="114"/>
      <c r="L485" s="111"/>
    </row>
    <row r="486">
      <c r="A486" s="117"/>
      <c r="C486" s="109"/>
      <c r="D486" s="110"/>
      <c r="E486" s="112"/>
      <c r="G486" s="111"/>
      <c r="I486" s="111"/>
      <c r="J486" s="111"/>
      <c r="K486" s="114"/>
      <c r="L486" s="111"/>
    </row>
    <row r="487">
      <c r="A487" s="117"/>
      <c r="C487" s="109"/>
      <c r="D487" s="110"/>
      <c r="E487" s="112"/>
      <c r="G487" s="111"/>
      <c r="I487" s="111"/>
      <c r="J487" s="111"/>
      <c r="K487" s="114"/>
      <c r="L487" s="111"/>
    </row>
    <row r="488">
      <c r="A488" s="117"/>
      <c r="C488" s="109"/>
      <c r="D488" s="110"/>
      <c r="E488" s="112"/>
      <c r="G488" s="111"/>
      <c r="I488" s="111"/>
      <c r="J488" s="111"/>
      <c r="K488" s="114"/>
      <c r="L488" s="111"/>
    </row>
    <row r="489">
      <c r="A489" s="117"/>
      <c r="C489" s="109"/>
      <c r="D489" s="110"/>
      <c r="E489" s="112"/>
      <c r="G489" s="111"/>
      <c r="I489" s="111"/>
      <c r="J489" s="111"/>
      <c r="K489" s="114"/>
      <c r="L489" s="111"/>
    </row>
    <row r="490">
      <c r="A490" s="117"/>
      <c r="C490" s="109"/>
      <c r="D490" s="110"/>
      <c r="E490" s="112"/>
      <c r="G490" s="111"/>
      <c r="I490" s="111"/>
      <c r="J490" s="111"/>
      <c r="K490" s="114"/>
      <c r="L490" s="111"/>
    </row>
    <row r="491">
      <c r="A491" s="117"/>
      <c r="C491" s="109"/>
      <c r="D491" s="110"/>
      <c r="E491" s="112"/>
      <c r="G491" s="111"/>
      <c r="I491" s="111"/>
      <c r="J491" s="111"/>
      <c r="K491" s="114"/>
      <c r="L491" s="111"/>
    </row>
    <row r="492">
      <c r="A492" s="117"/>
      <c r="C492" s="109"/>
      <c r="D492" s="110"/>
      <c r="E492" s="112"/>
      <c r="G492" s="111"/>
      <c r="I492" s="111"/>
      <c r="J492" s="111"/>
      <c r="K492" s="114"/>
      <c r="L492" s="111"/>
    </row>
    <row r="493">
      <c r="A493" s="117"/>
      <c r="C493" s="109"/>
      <c r="D493" s="110"/>
      <c r="E493" s="112"/>
      <c r="G493" s="111"/>
      <c r="I493" s="111"/>
      <c r="J493" s="111"/>
      <c r="K493" s="114"/>
      <c r="L493" s="111"/>
    </row>
    <row r="494">
      <c r="A494" s="117"/>
      <c r="C494" s="109"/>
      <c r="D494" s="110"/>
      <c r="E494" s="112"/>
      <c r="G494" s="111"/>
      <c r="I494" s="111"/>
      <c r="J494" s="111"/>
      <c r="K494" s="114"/>
      <c r="L494" s="111"/>
    </row>
    <row r="495">
      <c r="A495" s="117"/>
      <c r="C495" s="109"/>
      <c r="D495" s="110"/>
      <c r="E495" s="112"/>
      <c r="G495" s="111"/>
      <c r="I495" s="111"/>
      <c r="J495" s="111"/>
      <c r="K495" s="114"/>
      <c r="L495" s="111"/>
    </row>
    <row r="496">
      <c r="A496" s="117"/>
      <c r="C496" s="109"/>
      <c r="D496" s="110"/>
      <c r="E496" s="112"/>
      <c r="G496" s="111"/>
      <c r="I496" s="111"/>
      <c r="J496" s="111"/>
      <c r="K496" s="114"/>
      <c r="L496" s="111"/>
    </row>
    <row r="497">
      <c r="A497" s="117"/>
      <c r="C497" s="109"/>
      <c r="D497" s="110"/>
      <c r="E497" s="112"/>
      <c r="G497" s="111"/>
      <c r="I497" s="111"/>
      <c r="J497" s="111"/>
      <c r="K497" s="114"/>
      <c r="L497" s="111"/>
    </row>
    <row r="498">
      <c r="A498" s="117"/>
      <c r="C498" s="109"/>
      <c r="D498" s="110"/>
      <c r="E498" s="112"/>
      <c r="G498" s="111"/>
      <c r="I498" s="111"/>
      <c r="J498" s="111"/>
      <c r="K498" s="114"/>
      <c r="L498" s="111"/>
    </row>
    <row r="499">
      <c r="A499" s="117"/>
      <c r="C499" s="109"/>
      <c r="D499" s="110"/>
      <c r="E499" s="112"/>
      <c r="G499" s="111"/>
      <c r="I499" s="111"/>
      <c r="J499" s="111"/>
      <c r="K499" s="114"/>
      <c r="L499" s="111"/>
    </row>
    <row r="500">
      <c r="A500" s="117"/>
      <c r="C500" s="109"/>
      <c r="D500" s="110"/>
      <c r="E500" s="112"/>
      <c r="G500" s="111"/>
      <c r="I500" s="111"/>
      <c r="J500" s="111"/>
      <c r="K500" s="114"/>
      <c r="L500" s="111"/>
    </row>
    <row r="501">
      <c r="A501" s="117"/>
      <c r="C501" s="109"/>
      <c r="D501" s="110"/>
      <c r="E501" s="112"/>
      <c r="G501" s="111"/>
      <c r="I501" s="111"/>
      <c r="J501" s="111"/>
      <c r="K501" s="114"/>
      <c r="L501" s="111"/>
    </row>
    <row r="502">
      <c r="A502" s="117"/>
      <c r="C502" s="109"/>
      <c r="D502" s="110"/>
      <c r="E502" s="112"/>
      <c r="G502" s="111"/>
      <c r="I502" s="111"/>
      <c r="J502" s="111"/>
      <c r="K502" s="114"/>
      <c r="L502" s="111"/>
    </row>
    <row r="503">
      <c r="A503" s="117"/>
      <c r="C503" s="109"/>
      <c r="D503" s="110"/>
      <c r="E503" s="112"/>
      <c r="G503" s="111"/>
      <c r="I503" s="111"/>
      <c r="J503" s="111"/>
      <c r="K503" s="114"/>
      <c r="L503" s="111"/>
    </row>
    <row r="504">
      <c r="A504" s="117"/>
      <c r="C504" s="109"/>
      <c r="D504" s="110"/>
      <c r="E504" s="112"/>
      <c r="G504" s="111"/>
      <c r="I504" s="111"/>
      <c r="J504" s="111"/>
      <c r="K504" s="114"/>
      <c r="L504" s="111"/>
    </row>
    <row r="505">
      <c r="A505" s="117"/>
      <c r="C505" s="109"/>
      <c r="D505" s="110"/>
      <c r="E505" s="112"/>
      <c r="G505" s="111"/>
      <c r="I505" s="111"/>
      <c r="J505" s="111"/>
      <c r="K505" s="114"/>
      <c r="L505" s="111"/>
    </row>
    <row r="506">
      <c r="A506" s="117"/>
      <c r="C506" s="109"/>
      <c r="D506" s="110"/>
      <c r="E506" s="112"/>
      <c r="G506" s="111"/>
      <c r="I506" s="111"/>
      <c r="J506" s="111"/>
      <c r="K506" s="114"/>
      <c r="L506" s="111"/>
    </row>
    <row r="507">
      <c r="A507" s="117"/>
      <c r="C507" s="109"/>
      <c r="D507" s="110"/>
      <c r="E507" s="112"/>
      <c r="G507" s="111"/>
      <c r="I507" s="111"/>
      <c r="J507" s="111"/>
      <c r="K507" s="114"/>
      <c r="L507" s="111"/>
    </row>
    <row r="508">
      <c r="A508" s="117"/>
      <c r="C508" s="109"/>
      <c r="D508" s="110"/>
      <c r="E508" s="112"/>
      <c r="G508" s="111"/>
      <c r="I508" s="111"/>
      <c r="J508" s="111"/>
      <c r="K508" s="114"/>
      <c r="L508" s="111"/>
    </row>
    <row r="509">
      <c r="A509" s="117"/>
      <c r="C509" s="109"/>
      <c r="D509" s="110"/>
      <c r="E509" s="112"/>
      <c r="G509" s="111"/>
      <c r="I509" s="111"/>
      <c r="J509" s="111"/>
      <c r="K509" s="114"/>
      <c r="L509" s="111"/>
    </row>
    <row r="510">
      <c r="A510" s="117"/>
      <c r="C510" s="109"/>
      <c r="D510" s="110"/>
      <c r="E510" s="112"/>
      <c r="G510" s="111"/>
      <c r="I510" s="111"/>
      <c r="J510" s="111"/>
      <c r="K510" s="114"/>
      <c r="L510" s="111"/>
    </row>
    <row r="511">
      <c r="A511" s="117"/>
      <c r="C511" s="109"/>
      <c r="D511" s="110"/>
      <c r="E511" s="112"/>
      <c r="G511" s="111"/>
      <c r="I511" s="111"/>
      <c r="J511" s="111"/>
      <c r="K511" s="114"/>
      <c r="L511" s="111"/>
    </row>
    <row r="512">
      <c r="A512" s="117"/>
      <c r="C512" s="109"/>
      <c r="D512" s="110"/>
      <c r="E512" s="112"/>
      <c r="G512" s="111"/>
      <c r="I512" s="111"/>
      <c r="J512" s="111"/>
      <c r="K512" s="114"/>
      <c r="L512" s="111"/>
    </row>
    <row r="513">
      <c r="A513" s="117"/>
      <c r="C513" s="109"/>
      <c r="D513" s="110"/>
      <c r="E513" s="112"/>
      <c r="G513" s="111"/>
      <c r="I513" s="111"/>
      <c r="J513" s="111"/>
      <c r="K513" s="114"/>
      <c r="L513" s="111"/>
    </row>
    <row r="514">
      <c r="A514" s="117"/>
      <c r="C514" s="109"/>
      <c r="D514" s="110"/>
      <c r="E514" s="112"/>
      <c r="G514" s="111"/>
      <c r="I514" s="111"/>
      <c r="J514" s="111"/>
      <c r="K514" s="114"/>
      <c r="L514" s="111"/>
    </row>
    <row r="515">
      <c r="A515" s="117"/>
      <c r="C515" s="109"/>
      <c r="D515" s="110"/>
      <c r="E515" s="112"/>
      <c r="G515" s="111"/>
      <c r="I515" s="111"/>
      <c r="J515" s="111"/>
      <c r="K515" s="114"/>
      <c r="L515" s="111"/>
    </row>
    <row r="516">
      <c r="A516" s="117"/>
      <c r="C516" s="109"/>
      <c r="D516" s="110"/>
      <c r="E516" s="112"/>
      <c r="G516" s="111"/>
      <c r="I516" s="111"/>
      <c r="J516" s="111"/>
      <c r="K516" s="114"/>
      <c r="L516" s="111"/>
    </row>
    <row r="517">
      <c r="A517" s="117"/>
      <c r="C517" s="109"/>
      <c r="D517" s="110"/>
      <c r="E517" s="112"/>
      <c r="G517" s="111"/>
      <c r="I517" s="111"/>
      <c r="J517" s="111"/>
      <c r="K517" s="114"/>
      <c r="L517" s="111"/>
    </row>
    <row r="518">
      <c r="A518" s="117"/>
      <c r="C518" s="109"/>
      <c r="D518" s="110"/>
      <c r="E518" s="112"/>
      <c r="G518" s="111"/>
      <c r="I518" s="111"/>
      <c r="J518" s="111"/>
      <c r="K518" s="114"/>
      <c r="L518" s="111"/>
    </row>
    <row r="519">
      <c r="A519" s="117"/>
      <c r="C519" s="109"/>
      <c r="D519" s="110"/>
      <c r="E519" s="112"/>
      <c r="G519" s="111"/>
      <c r="I519" s="111"/>
      <c r="J519" s="111"/>
      <c r="K519" s="114"/>
      <c r="L519" s="111"/>
    </row>
    <row r="520">
      <c r="A520" s="117"/>
      <c r="C520" s="109"/>
      <c r="D520" s="110"/>
      <c r="E520" s="112"/>
      <c r="G520" s="111"/>
      <c r="I520" s="111"/>
      <c r="J520" s="111"/>
      <c r="K520" s="114"/>
      <c r="L520" s="111"/>
    </row>
    <row r="521">
      <c r="A521" s="117"/>
      <c r="C521" s="109"/>
      <c r="D521" s="110"/>
      <c r="E521" s="112"/>
      <c r="G521" s="111"/>
      <c r="I521" s="111"/>
      <c r="J521" s="111"/>
      <c r="K521" s="114"/>
      <c r="L521" s="111"/>
    </row>
    <row r="522">
      <c r="A522" s="117"/>
      <c r="C522" s="109"/>
      <c r="D522" s="110"/>
      <c r="E522" s="112"/>
      <c r="G522" s="111"/>
      <c r="I522" s="111"/>
      <c r="J522" s="111"/>
      <c r="K522" s="114"/>
      <c r="L522" s="111"/>
    </row>
    <row r="523">
      <c r="A523" s="117"/>
      <c r="C523" s="109"/>
      <c r="D523" s="110"/>
      <c r="E523" s="112"/>
      <c r="G523" s="111"/>
      <c r="I523" s="111"/>
      <c r="J523" s="111"/>
      <c r="K523" s="114"/>
      <c r="L523" s="111"/>
    </row>
    <row r="524">
      <c r="A524" s="117"/>
      <c r="C524" s="109"/>
      <c r="D524" s="110"/>
      <c r="E524" s="112"/>
      <c r="G524" s="111"/>
      <c r="I524" s="111"/>
      <c r="J524" s="111"/>
      <c r="K524" s="114"/>
      <c r="L524" s="111"/>
    </row>
    <row r="525">
      <c r="A525" s="117"/>
      <c r="C525" s="109"/>
      <c r="D525" s="110"/>
      <c r="E525" s="112"/>
      <c r="G525" s="111"/>
      <c r="I525" s="111"/>
      <c r="J525" s="111"/>
      <c r="K525" s="114"/>
      <c r="L525" s="111"/>
    </row>
    <row r="526">
      <c r="A526" s="117"/>
      <c r="C526" s="109"/>
      <c r="D526" s="110"/>
      <c r="E526" s="112"/>
      <c r="G526" s="111"/>
      <c r="I526" s="111"/>
      <c r="J526" s="111"/>
      <c r="K526" s="114"/>
      <c r="L526" s="111"/>
    </row>
    <row r="527">
      <c r="A527" s="117"/>
      <c r="C527" s="109"/>
      <c r="D527" s="110"/>
      <c r="E527" s="112"/>
      <c r="G527" s="111"/>
      <c r="I527" s="111"/>
      <c r="J527" s="111"/>
      <c r="K527" s="114"/>
      <c r="L527" s="111"/>
    </row>
    <row r="528">
      <c r="A528" s="117"/>
      <c r="C528" s="109"/>
      <c r="D528" s="110"/>
      <c r="E528" s="112"/>
      <c r="G528" s="111"/>
      <c r="I528" s="111"/>
      <c r="J528" s="111"/>
      <c r="K528" s="114"/>
      <c r="L528" s="111"/>
    </row>
    <row r="529">
      <c r="A529" s="117"/>
      <c r="C529" s="109"/>
      <c r="D529" s="110"/>
      <c r="E529" s="112"/>
      <c r="G529" s="111"/>
      <c r="I529" s="111"/>
      <c r="J529" s="111"/>
      <c r="K529" s="114"/>
      <c r="L529" s="111"/>
    </row>
    <row r="530">
      <c r="A530" s="117"/>
      <c r="C530" s="109"/>
      <c r="D530" s="110"/>
      <c r="E530" s="112"/>
      <c r="G530" s="111"/>
      <c r="I530" s="111"/>
      <c r="J530" s="111"/>
      <c r="K530" s="114"/>
      <c r="L530" s="111"/>
    </row>
    <row r="531">
      <c r="A531" s="117"/>
      <c r="C531" s="109"/>
      <c r="D531" s="110"/>
      <c r="E531" s="112"/>
      <c r="G531" s="111"/>
      <c r="I531" s="111"/>
      <c r="J531" s="111"/>
      <c r="K531" s="114"/>
      <c r="L531" s="111"/>
    </row>
    <row r="532">
      <c r="A532" s="117"/>
      <c r="C532" s="109"/>
      <c r="D532" s="110"/>
      <c r="E532" s="112"/>
      <c r="G532" s="111"/>
      <c r="I532" s="111"/>
      <c r="J532" s="111"/>
      <c r="K532" s="114"/>
      <c r="L532" s="111"/>
    </row>
    <row r="533">
      <c r="A533" s="117"/>
      <c r="C533" s="109"/>
      <c r="D533" s="110"/>
      <c r="E533" s="112"/>
      <c r="G533" s="111"/>
      <c r="I533" s="111"/>
      <c r="J533" s="111"/>
      <c r="K533" s="114"/>
      <c r="L533" s="111"/>
    </row>
    <row r="534">
      <c r="A534" s="117"/>
      <c r="C534" s="109"/>
      <c r="D534" s="110"/>
      <c r="E534" s="112"/>
      <c r="G534" s="111"/>
      <c r="I534" s="111"/>
      <c r="J534" s="111"/>
      <c r="K534" s="114"/>
      <c r="L534" s="111"/>
    </row>
    <row r="535">
      <c r="A535" s="117"/>
      <c r="C535" s="109"/>
      <c r="D535" s="110"/>
      <c r="E535" s="112"/>
      <c r="G535" s="111"/>
      <c r="I535" s="111"/>
      <c r="J535" s="111"/>
      <c r="K535" s="114"/>
      <c r="L535" s="111"/>
    </row>
    <row r="536">
      <c r="A536" s="117"/>
      <c r="C536" s="109"/>
      <c r="D536" s="110"/>
      <c r="E536" s="112"/>
      <c r="G536" s="111"/>
      <c r="I536" s="111"/>
      <c r="J536" s="111"/>
      <c r="K536" s="114"/>
      <c r="L536" s="111"/>
    </row>
    <row r="537">
      <c r="A537" s="117"/>
      <c r="C537" s="109"/>
      <c r="D537" s="110"/>
      <c r="E537" s="112"/>
      <c r="G537" s="111"/>
      <c r="I537" s="111"/>
      <c r="J537" s="111"/>
      <c r="K537" s="114"/>
      <c r="L537" s="111"/>
    </row>
    <row r="538">
      <c r="A538" s="117"/>
      <c r="C538" s="109"/>
      <c r="D538" s="110"/>
      <c r="E538" s="112"/>
      <c r="G538" s="111"/>
      <c r="I538" s="111"/>
      <c r="J538" s="111"/>
      <c r="K538" s="114"/>
      <c r="L538" s="111"/>
    </row>
    <row r="539">
      <c r="A539" s="117"/>
      <c r="C539" s="109"/>
      <c r="D539" s="110"/>
      <c r="E539" s="112"/>
      <c r="G539" s="111"/>
      <c r="I539" s="111"/>
      <c r="J539" s="111"/>
      <c r="K539" s="114"/>
      <c r="L539" s="111"/>
    </row>
    <row r="540">
      <c r="A540" s="117"/>
      <c r="C540" s="109"/>
      <c r="D540" s="110"/>
      <c r="E540" s="112"/>
      <c r="G540" s="111"/>
      <c r="I540" s="111"/>
      <c r="J540" s="111"/>
      <c r="K540" s="114"/>
      <c r="L540" s="111"/>
    </row>
    <row r="541">
      <c r="A541" s="117"/>
      <c r="C541" s="109"/>
      <c r="D541" s="110"/>
      <c r="E541" s="112"/>
      <c r="G541" s="111"/>
      <c r="I541" s="111"/>
      <c r="J541" s="111"/>
      <c r="K541" s="114"/>
      <c r="L541" s="111"/>
    </row>
    <row r="542">
      <c r="A542" s="117"/>
      <c r="C542" s="109"/>
      <c r="D542" s="110"/>
      <c r="E542" s="112"/>
      <c r="G542" s="111"/>
      <c r="I542" s="111"/>
      <c r="J542" s="111"/>
      <c r="K542" s="114"/>
      <c r="L542" s="111"/>
    </row>
    <row r="543">
      <c r="A543" s="117"/>
      <c r="C543" s="109"/>
      <c r="D543" s="110"/>
      <c r="E543" s="112"/>
      <c r="G543" s="111"/>
      <c r="I543" s="111"/>
      <c r="J543" s="111"/>
      <c r="K543" s="114"/>
      <c r="L543" s="111"/>
    </row>
    <row r="544">
      <c r="A544" s="117"/>
      <c r="C544" s="109"/>
      <c r="D544" s="110"/>
      <c r="E544" s="112"/>
      <c r="G544" s="111"/>
      <c r="I544" s="111"/>
      <c r="J544" s="111"/>
      <c r="K544" s="114"/>
      <c r="L544" s="111"/>
    </row>
    <row r="545">
      <c r="A545" s="117"/>
      <c r="C545" s="109"/>
      <c r="D545" s="110"/>
      <c r="E545" s="112"/>
      <c r="G545" s="111"/>
      <c r="I545" s="111"/>
      <c r="J545" s="111"/>
      <c r="K545" s="114"/>
      <c r="L545" s="111"/>
    </row>
    <row r="546">
      <c r="A546" s="117"/>
      <c r="C546" s="109"/>
      <c r="D546" s="110"/>
      <c r="E546" s="112"/>
      <c r="G546" s="111"/>
      <c r="I546" s="111"/>
      <c r="J546" s="111"/>
      <c r="K546" s="114"/>
      <c r="L546" s="111"/>
    </row>
    <row r="547">
      <c r="A547" s="117"/>
      <c r="C547" s="109"/>
      <c r="D547" s="110"/>
      <c r="E547" s="112"/>
      <c r="G547" s="111"/>
      <c r="I547" s="111"/>
      <c r="J547" s="111"/>
      <c r="K547" s="114"/>
      <c r="L547" s="111"/>
    </row>
    <row r="548">
      <c r="A548" s="117"/>
      <c r="C548" s="109"/>
      <c r="D548" s="110"/>
      <c r="E548" s="112"/>
      <c r="G548" s="111"/>
      <c r="I548" s="111"/>
      <c r="J548" s="111"/>
      <c r="K548" s="114"/>
      <c r="L548" s="111"/>
    </row>
    <row r="549">
      <c r="A549" s="117"/>
      <c r="C549" s="109"/>
      <c r="D549" s="110"/>
      <c r="E549" s="112"/>
      <c r="G549" s="111"/>
      <c r="I549" s="111"/>
      <c r="J549" s="111"/>
      <c r="K549" s="114"/>
      <c r="L549" s="111"/>
    </row>
    <row r="550">
      <c r="A550" s="117"/>
      <c r="C550" s="109"/>
      <c r="D550" s="110"/>
      <c r="E550" s="112"/>
      <c r="G550" s="111"/>
      <c r="I550" s="111"/>
      <c r="J550" s="111"/>
      <c r="K550" s="114"/>
      <c r="L550" s="111"/>
    </row>
    <row r="551">
      <c r="A551" s="117"/>
      <c r="C551" s="109"/>
      <c r="D551" s="110"/>
      <c r="E551" s="112"/>
      <c r="G551" s="111"/>
      <c r="I551" s="111"/>
      <c r="J551" s="111"/>
      <c r="K551" s="114"/>
      <c r="L551" s="111"/>
    </row>
    <row r="552">
      <c r="A552" s="117"/>
      <c r="C552" s="109"/>
      <c r="D552" s="110"/>
      <c r="E552" s="112"/>
      <c r="G552" s="111"/>
      <c r="I552" s="111"/>
      <c r="J552" s="111"/>
      <c r="K552" s="114"/>
      <c r="L552" s="111"/>
    </row>
    <row r="553">
      <c r="A553" s="117"/>
      <c r="C553" s="109"/>
      <c r="D553" s="110"/>
      <c r="E553" s="112"/>
      <c r="G553" s="111"/>
      <c r="I553" s="111"/>
      <c r="J553" s="111"/>
      <c r="K553" s="114"/>
      <c r="L553" s="111"/>
    </row>
    <row r="554">
      <c r="A554" s="117"/>
      <c r="C554" s="109"/>
      <c r="D554" s="110"/>
      <c r="E554" s="112"/>
      <c r="G554" s="111"/>
      <c r="I554" s="111"/>
      <c r="J554" s="111"/>
      <c r="K554" s="114"/>
      <c r="L554" s="111"/>
    </row>
    <row r="555">
      <c r="A555" s="117"/>
      <c r="C555" s="109"/>
      <c r="D555" s="110"/>
      <c r="E555" s="112"/>
      <c r="G555" s="111"/>
      <c r="I555" s="111"/>
      <c r="J555" s="111"/>
      <c r="K555" s="114"/>
      <c r="L555" s="111"/>
    </row>
    <row r="556">
      <c r="A556" s="117"/>
      <c r="C556" s="109"/>
      <c r="D556" s="110"/>
      <c r="E556" s="112"/>
      <c r="G556" s="111"/>
      <c r="I556" s="111"/>
      <c r="J556" s="111"/>
      <c r="K556" s="114"/>
      <c r="L556" s="111"/>
    </row>
    <row r="557">
      <c r="A557" s="117"/>
      <c r="C557" s="109"/>
      <c r="D557" s="110"/>
      <c r="E557" s="112"/>
      <c r="G557" s="111"/>
      <c r="I557" s="111"/>
      <c r="J557" s="111"/>
      <c r="K557" s="114"/>
      <c r="L557" s="111"/>
    </row>
    <row r="558">
      <c r="A558" s="117"/>
      <c r="C558" s="109"/>
      <c r="D558" s="110"/>
      <c r="E558" s="112"/>
      <c r="G558" s="111"/>
      <c r="I558" s="111"/>
      <c r="J558" s="111"/>
      <c r="K558" s="114"/>
      <c r="L558" s="111"/>
    </row>
    <row r="559">
      <c r="A559" s="117"/>
      <c r="C559" s="109"/>
      <c r="D559" s="110"/>
      <c r="E559" s="112"/>
      <c r="G559" s="111"/>
      <c r="I559" s="111"/>
      <c r="J559" s="111"/>
      <c r="K559" s="114"/>
      <c r="L559" s="111"/>
    </row>
    <row r="560">
      <c r="A560" s="117"/>
      <c r="C560" s="109"/>
      <c r="D560" s="110"/>
      <c r="E560" s="112"/>
      <c r="G560" s="111"/>
      <c r="I560" s="111"/>
      <c r="J560" s="111"/>
      <c r="K560" s="114"/>
      <c r="L560" s="111"/>
    </row>
    <row r="561">
      <c r="A561" s="117"/>
      <c r="C561" s="109"/>
      <c r="D561" s="110"/>
      <c r="E561" s="112"/>
      <c r="G561" s="111"/>
      <c r="I561" s="111"/>
      <c r="J561" s="111"/>
      <c r="K561" s="114"/>
      <c r="L561" s="111"/>
    </row>
    <row r="562">
      <c r="A562" s="117"/>
      <c r="C562" s="109"/>
      <c r="D562" s="110"/>
      <c r="E562" s="112"/>
      <c r="G562" s="111"/>
      <c r="I562" s="111"/>
      <c r="J562" s="111"/>
      <c r="K562" s="114"/>
      <c r="L562" s="111"/>
    </row>
    <row r="563">
      <c r="A563" s="117"/>
      <c r="C563" s="109"/>
      <c r="D563" s="110"/>
      <c r="E563" s="112"/>
      <c r="G563" s="111"/>
      <c r="I563" s="111"/>
      <c r="J563" s="111"/>
      <c r="K563" s="114"/>
      <c r="L563" s="111"/>
    </row>
    <row r="564">
      <c r="A564" s="117"/>
      <c r="C564" s="109"/>
      <c r="D564" s="110"/>
      <c r="E564" s="112"/>
      <c r="G564" s="111"/>
      <c r="I564" s="111"/>
      <c r="J564" s="111"/>
      <c r="K564" s="114"/>
      <c r="L564" s="111"/>
    </row>
    <row r="565">
      <c r="A565" s="117"/>
      <c r="C565" s="109"/>
      <c r="D565" s="110"/>
      <c r="E565" s="112"/>
      <c r="G565" s="111"/>
      <c r="I565" s="111"/>
      <c r="J565" s="111"/>
      <c r="K565" s="114"/>
      <c r="L565" s="111"/>
    </row>
    <row r="566">
      <c r="A566" s="117"/>
      <c r="C566" s="109"/>
      <c r="D566" s="110"/>
      <c r="E566" s="112"/>
      <c r="G566" s="111"/>
      <c r="I566" s="111"/>
      <c r="J566" s="111"/>
      <c r="K566" s="114"/>
      <c r="L566" s="111"/>
    </row>
    <row r="567">
      <c r="A567" s="117"/>
      <c r="C567" s="109"/>
      <c r="D567" s="110"/>
      <c r="E567" s="112"/>
      <c r="G567" s="111"/>
      <c r="I567" s="111"/>
      <c r="J567" s="111"/>
      <c r="K567" s="114"/>
      <c r="L567" s="111"/>
    </row>
    <row r="568">
      <c r="A568" s="117"/>
      <c r="C568" s="109"/>
      <c r="D568" s="110"/>
      <c r="E568" s="112"/>
      <c r="G568" s="111"/>
      <c r="I568" s="111"/>
      <c r="J568" s="111"/>
      <c r="K568" s="114"/>
      <c r="L568" s="111"/>
    </row>
    <row r="569">
      <c r="A569" s="117"/>
      <c r="C569" s="109"/>
      <c r="D569" s="110"/>
      <c r="E569" s="112"/>
      <c r="G569" s="111"/>
      <c r="I569" s="111"/>
      <c r="J569" s="111"/>
      <c r="K569" s="114"/>
      <c r="L569" s="111"/>
    </row>
    <row r="570">
      <c r="A570" s="117"/>
      <c r="C570" s="109"/>
      <c r="D570" s="110"/>
      <c r="E570" s="112"/>
      <c r="G570" s="111"/>
      <c r="I570" s="111"/>
      <c r="J570" s="111"/>
      <c r="K570" s="114"/>
      <c r="L570" s="111"/>
    </row>
    <row r="571">
      <c r="A571" s="117"/>
      <c r="C571" s="109"/>
      <c r="D571" s="110"/>
      <c r="E571" s="112"/>
      <c r="G571" s="111"/>
      <c r="I571" s="111"/>
      <c r="J571" s="111"/>
      <c r="K571" s="114"/>
      <c r="L571" s="111"/>
    </row>
    <row r="572">
      <c r="A572" s="117"/>
      <c r="C572" s="109"/>
      <c r="D572" s="110"/>
      <c r="E572" s="112"/>
      <c r="G572" s="111"/>
      <c r="I572" s="111"/>
      <c r="J572" s="111"/>
      <c r="K572" s="114"/>
      <c r="L572" s="111"/>
    </row>
    <row r="573">
      <c r="A573" s="117"/>
      <c r="C573" s="109"/>
      <c r="D573" s="110"/>
      <c r="E573" s="112"/>
      <c r="G573" s="111"/>
      <c r="I573" s="111"/>
      <c r="J573" s="111"/>
      <c r="K573" s="114"/>
      <c r="L573" s="111"/>
    </row>
    <row r="574">
      <c r="A574" s="117"/>
      <c r="C574" s="109"/>
      <c r="D574" s="110"/>
      <c r="E574" s="112"/>
      <c r="G574" s="111"/>
      <c r="I574" s="111"/>
      <c r="J574" s="111"/>
      <c r="K574" s="114"/>
      <c r="L574" s="111"/>
    </row>
    <row r="575">
      <c r="A575" s="117"/>
      <c r="C575" s="109"/>
      <c r="D575" s="110"/>
      <c r="E575" s="112"/>
      <c r="G575" s="111"/>
      <c r="I575" s="111"/>
      <c r="J575" s="111"/>
      <c r="K575" s="114"/>
      <c r="L575" s="111"/>
    </row>
    <row r="576">
      <c r="A576" s="117"/>
      <c r="C576" s="109"/>
      <c r="D576" s="110"/>
      <c r="E576" s="112"/>
      <c r="G576" s="111"/>
      <c r="I576" s="111"/>
      <c r="J576" s="111"/>
      <c r="K576" s="114"/>
      <c r="L576" s="111"/>
    </row>
    <row r="577">
      <c r="A577" s="117"/>
      <c r="C577" s="109"/>
      <c r="D577" s="110"/>
      <c r="E577" s="112"/>
      <c r="G577" s="111"/>
      <c r="I577" s="111"/>
      <c r="J577" s="111"/>
      <c r="K577" s="114"/>
      <c r="L577" s="111"/>
    </row>
    <row r="578">
      <c r="A578" s="117"/>
      <c r="C578" s="109"/>
      <c r="D578" s="110"/>
      <c r="E578" s="112"/>
      <c r="G578" s="111"/>
      <c r="I578" s="111"/>
      <c r="J578" s="111"/>
      <c r="K578" s="114"/>
      <c r="L578" s="111"/>
    </row>
    <row r="579">
      <c r="A579" s="117"/>
      <c r="C579" s="109"/>
      <c r="D579" s="110"/>
      <c r="E579" s="112"/>
      <c r="G579" s="111"/>
      <c r="I579" s="111"/>
      <c r="J579" s="111"/>
      <c r="K579" s="114"/>
      <c r="L579" s="111"/>
    </row>
    <row r="580">
      <c r="A580" s="117"/>
      <c r="C580" s="109"/>
      <c r="D580" s="110"/>
      <c r="E580" s="112"/>
      <c r="G580" s="111"/>
      <c r="I580" s="111"/>
      <c r="J580" s="111"/>
      <c r="K580" s="114"/>
      <c r="L580" s="111"/>
    </row>
    <row r="581">
      <c r="A581" s="117"/>
      <c r="C581" s="109"/>
      <c r="D581" s="110"/>
      <c r="E581" s="112"/>
      <c r="G581" s="111"/>
      <c r="I581" s="111"/>
      <c r="J581" s="111"/>
      <c r="K581" s="114"/>
      <c r="L581" s="111"/>
    </row>
    <row r="582">
      <c r="A582" s="117"/>
      <c r="C582" s="109"/>
      <c r="D582" s="110"/>
      <c r="E582" s="112"/>
      <c r="G582" s="111"/>
      <c r="I582" s="111"/>
      <c r="J582" s="111"/>
      <c r="K582" s="114"/>
      <c r="L582" s="111"/>
    </row>
    <row r="583">
      <c r="A583" s="117"/>
      <c r="C583" s="109"/>
      <c r="D583" s="110"/>
      <c r="E583" s="112"/>
      <c r="G583" s="111"/>
      <c r="I583" s="111"/>
      <c r="J583" s="111"/>
      <c r="K583" s="114"/>
      <c r="L583" s="111"/>
    </row>
    <row r="584">
      <c r="A584" s="117"/>
      <c r="C584" s="109"/>
      <c r="D584" s="110"/>
      <c r="E584" s="112"/>
      <c r="G584" s="111"/>
      <c r="I584" s="111"/>
      <c r="J584" s="111"/>
      <c r="K584" s="114"/>
      <c r="L584" s="111"/>
    </row>
    <row r="585">
      <c r="A585" s="117"/>
      <c r="C585" s="109"/>
      <c r="D585" s="110"/>
      <c r="E585" s="112"/>
      <c r="G585" s="111"/>
      <c r="I585" s="111"/>
      <c r="J585" s="111"/>
      <c r="K585" s="114"/>
      <c r="L585" s="111"/>
    </row>
    <row r="586">
      <c r="A586" s="117"/>
      <c r="C586" s="109"/>
      <c r="D586" s="110"/>
      <c r="E586" s="112"/>
      <c r="G586" s="111"/>
      <c r="I586" s="111"/>
      <c r="J586" s="111"/>
      <c r="K586" s="114"/>
      <c r="L586" s="111"/>
    </row>
    <row r="587">
      <c r="A587" s="117"/>
      <c r="C587" s="109"/>
      <c r="D587" s="110"/>
      <c r="E587" s="112"/>
      <c r="G587" s="111"/>
      <c r="I587" s="111"/>
      <c r="J587" s="111"/>
      <c r="K587" s="114"/>
      <c r="L587" s="111"/>
    </row>
    <row r="588">
      <c r="A588" s="117"/>
      <c r="C588" s="109"/>
      <c r="D588" s="110"/>
      <c r="E588" s="112"/>
      <c r="G588" s="111"/>
      <c r="I588" s="111"/>
      <c r="J588" s="111"/>
      <c r="K588" s="114"/>
      <c r="L588" s="111"/>
    </row>
    <row r="589">
      <c r="A589" s="117"/>
      <c r="C589" s="109"/>
      <c r="D589" s="110"/>
      <c r="E589" s="112"/>
      <c r="G589" s="111"/>
      <c r="I589" s="111"/>
      <c r="J589" s="111"/>
      <c r="K589" s="114"/>
      <c r="L589" s="111"/>
    </row>
    <row r="590">
      <c r="A590" s="117"/>
      <c r="C590" s="109"/>
      <c r="D590" s="110"/>
      <c r="E590" s="112"/>
      <c r="G590" s="111"/>
      <c r="I590" s="111"/>
      <c r="J590" s="111"/>
      <c r="K590" s="114"/>
      <c r="L590" s="111"/>
    </row>
    <row r="591">
      <c r="A591" s="117"/>
      <c r="C591" s="109"/>
      <c r="D591" s="110"/>
      <c r="E591" s="112"/>
      <c r="G591" s="111"/>
      <c r="I591" s="111"/>
      <c r="J591" s="111"/>
      <c r="K591" s="114"/>
      <c r="L591" s="111"/>
    </row>
    <row r="592">
      <c r="A592" s="117"/>
      <c r="C592" s="109"/>
      <c r="D592" s="110"/>
      <c r="E592" s="112"/>
      <c r="G592" s="111"/>
      <c r="I592" s="111"/>
      <c r="J592" s="111"/>
      <c r="K592" s="114"/>
      <c r="L592" s="111"/>
    </row>
    <row r="593">
      <c r="A593" s="117"/>
      <c r="C593" s="109"/>
      <c r="D593" s="110"/>
      <c r="E593" s="112"/>
      <c r="G593" s="111"/>
      <c r="I593" s="111"/>
      <c r="J593" s="111"/>
      <c r="K593" s="114"/>
      <c r="L593" s="111"/>
    </row>
    <row r="594">
      <c r="A594" s="117"/>
      <c r="C594" s="109"/>
      <c r="D594" s="110"/>
      <c r="E594" s="112"/>
      <c r="G594" s="111"/>
      <c r="I594" s="111"/>
      <c r="J594" s="111"/>
      <c r="K594" s="114"/>
      <c r="L594" s="111"/>
    </row>
    <row r="595">
      <c r="A595" s="117"/>
      <c r="C595" s="109"/>
      <c r="D595" s="110"/>
      <c r="E595" s="112"/>
      <c r="G595" s="111"/>
      <c r="I595" s="111"/>
      <c r="J595" s="111"/>
      <c r="K595" s="114"/>
      <c r="L595" s="111"/>
    </row>
    <row r="596">
      <c r="A596" s="117"/>
      <c r="C596" s="109"/>
      <c r="D596" s="110"/>
      <c r="E596" s="112"/>
      <c r="G596" s="111"/>
      <c r="I596" s="111"/>
      <c r="J596" s="111"/>
      <c r="K596" s="114"/>
      <c r="L596" s="111"/>
    </row>
    <row r="597">
      <c r="A597" s="117"/>
      <c r="C597" s="109"/>
      <c r="D597" s="110"/>
      <c r="E597" s="112"/>
      <c r="G597" s="111"/>
      <c r="I597" s="111"/>
      <c r="J597" s="111"/>
      <c r="K597" s="114"/>
      <c r="L597" s="111"/>
    </row>
    <row r="598">
      <c r="A598" s="117"/>
      <c r="C598" s="109"/>
      <c r="D598" s="110"/>
      <c r="E598" s="112"/>
      <c r="G598" s="111"/>
      <c r="I598" s="111"/>
      <c r="J598" s="111"/>
      <c r="K598" s="114"/>
      <c r="L598" s="111"/>
    </row>
    <row r="599">
      <c r="A599" s="117"/>
      <c r="C599" s="109"/>
      <c r="D599" s="110"/>
      <c r="E599" s="112"/>
      <c r="G599" s="111"/>
      <c r="I599" s="111"/>
      <c r="J599" s="111"/>
      <c r="K599" s="114"/>
      <c r="L599" s="111"/>
    </row>
    <row r="600">
      <c r="A600" s="117"/>
      <c r="C600" s="109"/>
      <c r="D600" s="110"/>
      <c r="E600" s="112"/>
      <c r="G600" s="111"/>
      <c r="I600" s="111"/>
      <c r="J600" s="111"/>
      <c r="K600" s="114"/>
      <c r="L600" s="111"/>
    </row>
    <row r="601">
      <c r="A601" s="117"/>
      <c r="C601" s="109"/>
      <c r="D601" s="110"/>
      <c r="E601" s="112"/>
      <c r="G601" s="111"/>
      <c r="I601" s="111"/>
      <c r="J601" s="111"/>
      <c r="K601" s="114"/>
      <c r="L601" s="111"/>
    </row>
    <row r="602">
      <c r="A602" s="117"/>
      <c r="C602" s="109"/>
      <c r="D602" s="110"/>
      <c r="E602" s="112"/>
      <c r="G602" s="111"/>
      <c r="I602" s="111"/>
      <c r="J602" s="111"/>
      <c r="K602" s="114"/>
      <c r="L602" s="111"/>
    </row>
    <row r="603">
      <c r="A603" s="117"/>
      <c r="C603" s="109"/>
      <c r="D603" s="110"/>
      <c r="E603" s="112"/>
      <c r="G603" s="111"/>
      <c r="I603" s="111"/>
      <c r="J603" s="111"/>
      <c r="K603" s="114"/>
      <c r="L603" s="111"/>
    </row>
    <row r="604">
      <c r="A604" s="117"/>
      <c r="C604" s="109"/>
      <c r="D604" s="110"/>
      <c r="E604" s="112"/>
      <c r="G604" s="111"/>
      <c r="I604" s="111"/>
      <c r="J604" s="111"/>
      <c r="K604" s="114"/>
      <c r="L604" s="111"/>
    </row>
    <row r="605">
      <c r="A605" s="117"/>
      <c r="C605" s="109"/>
      <c r="D605" s="110"/>
      <c r="E605" s="112"/>
      <c r="G605" s="111"/>
      <c r="I605" s="111"/>
      <c r="J605" s="111"/>
      <c r="K605" s="114"/>
      <c r="L605" s="111"/>
    </row>
    <row r="606">
      <c r="A606" s="117"/>
      <c r="C606" s="109"/>
      <c r="D606" s="110"/>
      <c r="E606" s="112"/>
      <c r="G606" s="111"/>
      <c r="I606" s="111"/>
      <c r="J606" s="111"/>
      <c r="K606" s="114"/>
      <c r="L606" s="111"/>
    </row>
    <row r="607">
      <c r="A607" s="117"/>
      <c r="C607" s="109"/>
      <c r="D607" s="110"/>
      <c r="E607" s="112"/>
      <c r="G607" s="111"/>
      <c r="I607" s="111"/>
      <c r="J607" s="111"/>
      <c r="K607" s="114"/>
      <c r="L607" s="111"/>
    </row>
    <row r="608">
      <c r="A608" s="117"/>
      <c r="C608" s="109"/>
      <c r="D608" s="110"/>
      <c r="E608" s="112"/>
      <c r="G608" s="111"/>
      <c r="I608" s="111"/>
      <c r="J608" s="111"/>
      <c r="K608" s="114"/>
      <c r="L608" s="111"/>
    </row>
    <row r="609">
      <c r="A609" s="117"/>
      <c r="C609" s="109"/>
      <c r="D609" s="110"/>
      <c r="E609" s="112"/>
      <c r="G609" s="111"/>
      <c r="I609" s="111"/>
      <c r="J609" s="111"/>
      <c r="K609" s="114"/>
      <c r="L609" s="111"/>
    </row>
    <row r="610">
      <c r="A610" s="117"/>
      <c r="C610" s="109"/>
      <c r="D610" s="110"/>
      <c r="E610" s="112"/>
      <c r="G610" s="111"/>
      <c r="I610" s="111"/>
      <c r="J610" s="111"/>
      <c r="K610" s="114"/>
      <c r="L610" s="111"/>
    </row>
    <row r="611">
      <c r="A611" s="117"/>
      <c r="C611" s="109"/>
      <c r="D611" s="110"/>
      <c r="E611" s="112"/>
      <c r="G611" s="111"/>
      <c r="I611" s="111"/>
      <c r="J611" s="111"/>
      <c r="K611" s="114"/>
      <c r="L611" s="111"/>
    </row>
    <row r="612">
      <c r="A612" s="117"/>
      <c r="C612" s="109"/>
      <c r="D612" s="110"/>
      <c r="E612" s="112"/>
      <c r="G612" s="111"/>
      <c r="I612" s="111"/>
      <c r="J612" s="111"/>
      <c r="K612" s="114"/>
      <c r="L612" s="111"/>
    </row>
    <row r="613">
      <c r="A613" s="117"/>
      <c r="C613" s="109"/>
      <c r="D613" s="110"/>
      <c r="E613" s="112"/>
      <c r="G613" s="111"/>
      <c r="I613" s="111"/>
      <c r="J613" s="111"/>
      <c r="K613" s="114"/>
      <c r="L613" s="111"/>
    </row>
    <row r="614">
      <c r="A614" s="117"/>
      <c r="C614" s="109"/>
      <c r="D614" s="110"/>
      <c r="E614" s="112"/>
      <c r="G614" s="111"/>
      <c r="I614" s="111"/>
      <c r="J614" s="111"/>
      <c r="K614" s="114"/>
      <c r="L614" s="111"/>
    </row>
    <row r="615">
      <c r="A615" s="117"/>
      <c r="C615" s="109"/>
      <c r="D615" s="110"/>
      <c r="E615" s="112"/>
      <c r="G615" s="111"/>
      <c r="I615" s="111"/>
      <c r="J615" s="111"/>
      <c r="K615" s="114"/>
      <c r="L615" s="111"/>
    </row>
    <row r="616">
      <c r="A616" s="117"/>
      <c r="C616" s="109"/>
      <c r="D616" s="110"/>
      <c r="E616" s="112"/>
      <c r="G616" s="111"/>
      <c r="I616" s="111"/>
      <c r="J616" s="111"/>
      <c r="K616" s="114"/>
      <c r="L616" s="111"/>
    </row>
    <row r="617">
      <c r="A617" s="117"/>
      <c r="C617" s="109"/>
      <c r="D617" s="110"/>
      <c r="E617" s="112"/>
      <c r="G617" s="111"/>
      <c r="I617" s="111"/>
      <c r="J617" s="111"/>
      <c r="K617" s="114"/>
      <c r="L617" s="111"/>
    </row>
    <row r="618">
      <c r="A618" s="117"/>
      <c r="C618" s="109"/>
      <c r="D618" s="110"/>
      <c r="E618" s="112"/>
      <c r="G618" s="111"/>
      <c r="I618" s="111"/>
      <c r="J618" s="111"/>
      <c r="K618" s="114"/>
      <c r="L618" s="111"/>
    </row>
    <row r="619">
      <c r="A619" s="117"/>
      <c r="C619" s="109"/>
      <c r="D619" s="110"/>
      <c r="E619" s="112"/>
      <c r="G619" s="111"/>
      <c r="I619" s="111"/>
      <c r="J619" s="111"/>
      <c r="K619" s="114"/>
      <c r="L619" s="111"/>
    </row>
    <row r="620">
      <c r="A620" s="117"/>
      <c r="C620" s="109"/>
      <c r="D620" s="110"/>
      <c r="E620" s="112"/>
      <c r="G620" s="111"/>
      <c r="I620" s="111"/>
      <c r="J620" s="111"/>
      <c r="K620" s="114"/>
      <c r="L620" s="111"/>
    </row>
    <row r="621">
      <c r="A621" s="117"/>
      <c r="C621" s="109"/>
      <c r="D621" s="110"/>
      <c r="E621" s="112"/>
      <c r="G621" s="111"/>
      <c r="I621" s="111"/>
      <c r="J621" s="111"/>
      <c r="K621" s="114"/>
      <c r="L621" s="111"/>
    </row>
    <row r="622">
      <c r="A622" s="117"/>
      <c r="C622" s="109"/>
      <c r="D622" s="110"/>
      <c r="E622" s="112"/>
      <c r="G622" s="111"/>
      <c r="I622" s="111"/>
      <c r="J622" s="111"/>
      <c r="K622" s="114"/>
      <c r="L622" s="111"/>
    </row>
    <row r="623">
      <c r="A623" s="117"/>
      <c r="C623" s="109"/>
      <c r="D623" s="110"/>
      <c r="E623" s="112"/>
      <c r="G623" s="111"/>
      <c r="I623" s="111"/>
      <c r="J623" s="111"/>
      <c r="K623" s="114"/>
      <c r="L623" s="111"/>
    </row>
    <row r="624">
      <c r="A624" s="117"/>
      <c r="C624" s="109"/>
      <c r="D624" s="110"/>
      <c r="E624" s="112"/>
      <c r="G624" s="111"/>
      <c r="I624" s="111"/>
      <c r="J624" s="111"/>
      <c r="K624" s="114"/>
      <c r="L624" s="111"/>
    </row>
    <row r="625">
      <c r="A625" s="117"/>
      <c r="C625" s="109"/>
      <c r="D625" s="110"/>
      <c r="E625" s="112"/>
      <c r="G625" s="111"/>
      <c r="I625" s="111"/>
      <c r="J625" s="111"/>
      <c r="K625" s="114"/>
      <c r="L625" s="111"/>
    </row>
    <row r="626">
      <c r="A626" s="117"/>
      <c r="C626" s="109"/>
      <c r="D626" s="110"/>
      <c r="E626" s="112"/>
      <c r="G626" s="111"/>
      <c r="I626" s="111"/>
      <c r="J626" s="111"/>
      <c r="K626" s="114"/>
      <c r="L626" s="111"/>
    </row>
    <row r="627">
      <c r="A627" s="117"/>
      <c r="C627" s="109"/>
      <c r="D627" s="110"/>
      <c r="E627" s="112"/>
      <c r="G627" s="111"/>
      <c r="I627" s="111"/>
      <c r="J627" s="111"/>
      <c r="K627" s="114"/>
      <c r="L627" s="111"/>
    </row>
    <row r="628">
      <c r="A628" s="117"/>
      <c r="C628" s="109"/>
      <c r="D628" s="110"/>
      <c r="E628" s="112"/>
      <c r="G628" s="111"/>
      <c r="I628" s="111"/>
      <c r="J628" s="111"/>
      <c r="K628" s="114"/>
      <c r="L628" s="111"/>
    </row>
    <row r="629">
      <c r="A629" s="117"/>
      <c r="C629" s="109"/>
      <c r="D629" s="110"/>
      <c r="E629" s="112"/>
      <c r="G629" s="111"/>
      <c r="I629" s="111"/>
      <c r="J629" s="111"/>
      <c r="K629" s="114"/>
      <c r="L629" s="111"/>
    </row>
    <row r="630">
      <c r="A630" s="117"/>
      <c r="C630" s="109"/>
      <c r="D630" s="110"/>
      <c r="E630" s="112"/>
      <c r="G630" s="111"/>
      <c r="I630" s="111"/>
      <c r="J630" s="111"/>
      <c r="K630" s="114"/>
      <c r="L630" s="111"/>
    </row>
    <row r="631">
      <c r="A631" s="117"/>
      <c r="C631" s="109"/>
      <c r="D631" s="110"/>
      <c r="E631" s="112"/>
      <c r="G631" s="111"/>
      <c r="I631" s="111"/>
      <c r="J631" s="111"/>
      <c r="K631" s="114"/>
      <c r="L631" s="111"/>
    </row>
    <row r="632">
      <c r="A632" s="117"/>
      <c r="C632" s="109"/>
      <c r="D632" s="110"/>
      <c r="E632" s="112"/>
      <c r="G632" s="111"/>
      <c r="I632" s="111"/>
      <c r="J632" s="111"/>
      <c r="K632" s="114"/>
      <c r="L632" s="111"/>
    </row>
    <row r="633">
      <c r="A633" s="117"/>
      <c r="C633" s="109"/>
      <c r="D633" s="110"/>
      <c r="E633" s="112"/>
      <c r="G633" s="111"/>
      <c r="I633" s="111"/>
      <c r="J633" s="111"/>
      <c r="K633" s="114"/>
      <c r="L633" s="111"/>
    </row>
    <row r="634">
      <c r="A634" s="117"/>
      <c r="C634" s="109"/>
      <c r="D634" s="110"/>
      <c r="E634" s="112"/>
      <c r="G634" s="111"/>
      <c r="I634" s="111"/>
      <c r="J634" s="111"/>
      <c r="K634" s="114"/>
      <c r="L634" s="111"/>
    </row>
    <row r="635">
      <c r="A635" s="117"/>
      <c r="C635" s="109"/>
      <c r="D635" s="110"/>
      <c r="E635" s="112"/>
      <c r="G635" s="111"/>
      <c r="I635" s="111"/>
      <c r="J635" s="111"/>
      <c r="K635" s="114"/>
      <c r="L635" s="111"/>
    </row>
    <row r="636">
      <c r="A636" s="117"/>
      <c r="C636" s="109"/>
      <c r="D636" s="110"/>
      <c r="E636" s="112"/>
      <c r="G636" s="111"/>
      <c r="I636" s="111"/>
      <c r="J636" s="111"/>
      <c r="K636" s="114"/>
      <c r="L636" s="111"/>
    </row>
    <row r="637">
      <c r="A637" s="117"/>
      <c r="C637" s="109"/>
      <c r="D637" s="110"/>
      <c r="E637" s="112"/>
      <c r="G637" s="111"/>
      <c r="I637" s="111"/>
      <c r="J637" s="111"/>
      <c r="K637" s="114"/>
      <c r="L637" s="111"/>
    </row>
    <row r="638">
      <c r="A638" s="117"/>
      <c r="C638" s="109"/>
      <c r="D638" s="110"/>
      <c r="E638" s="112"/>
      <c r="G638" s="111"/>
      <c r="I638" s="111"/>
      <c r="J638" s="111"/>
      <c r="K638" s="114"/>
      <c r="L638" s="111"/>
    </row>
    <row r="639">
      <c r="A639" s="117"/>
      <c r="C639" s="109"/>
      <c r="D639" s="110"/>
      <c r="E639" s="112"/>
      <c r="G639" s="111"/>
      <c r="I639" s="111"/>
      <c r="J639" s="111"/>
      <c r="K639" s="114"/>
      <c r="L639" s="111"/>
    </row>
    <row r="640">
      <c r="A640" s="117"/>
      <c r="C640" s="109"/>
      <c r="D640" s="110"/>
      <c r="E640" s="112"/>
      <c r="G640" s="111"/>
      <c r="I640" s="111"/>
      <c r="J640" s="111"/>
      <c r="K640" s="114"/>
      <c r="L640" s="111"/>
    </row>
    <row r="641">
      <c r="A641" s="117"/>
      <c r="C641" s="109"/>
      <c r="D641" s="110"/>
      <c r="E641" s="112"/>
      <c r="G641" s="111"/>
      <c r="I641" s="111"/>
      <c r="J641" s="111"/>
      <c r="K641" s="114"/>
      <c r="L641" s="111"/>
    </row>
    <row r="642">
      <c r="A642" s="117"/>
      <c r="C642" s="109"/>
      <c r="D642" s="110"/>
      <c r="E642" s="112"/>
      <c r="G642" s="111"/>
      <c r="I642" s="111"/>
      <c r="J642" s="111"/>
      <c r="K642" s="114"/>
      <c r="L642" s="111"/>
    </row>
    <row r="643">
      <c r="A643" s="117"/>
      <c r="C643" s="109"/>
      <c r="D643" s="110"/>
      <c r="E643" s="112"/>
      <c r="G643" s="111"/>
      <c r="I643" s="111"/>
      <c r="J643" s="111"/>
      <c r="K643" s="114"/>
      <c r="L643" s="111"/>
    </row>
    <row r="644">
      <c r="A644" s="117"/>
      <c r="C644" s="109"/>
      <c r="D644" s="110"/>
      <c r="E644" s="112"/>
      <c r="G644" s="111"/>
      <c r="I644" s="111"/>
      <c r="J644" s="111"/>
      <c r="K644" s="114"/>
      <c r="L644" s="111"/>
    </row>
    <row r="645">
      <c r="A645" s="117"/>
      <c r="C645" s="109"/>
      <c r="D645" s="110"/>
      <c r="E645" s="112"/>
      <c r="G645" s="111"/>
      <c r="I645" s="111"/>
      <c r="J645" s="111"/>
      <c r="K645" s="114"/>
      <c r="L645" s="111"/>
    </row>
    <row r="646">
      <c r="A646" s="117"/>
      <c r="C646" s="109"/>
      <c r="D646" s="110"/>
      <c r="E646" s="112"/>
      <c r="G646" s="111"/>
      <c r="I646" s="111"/>
      <c r="J646" s="111"/>
      <c r="K646" s="114"/>
      <c r="L646" s="111"/>
    </row>
    <row r="647">
      <c r="A647" s="117"/>
      <c r="C647" s="109"/>
      <c r="D647" s="110"/>
      <c r="E647" s="112"/>
      <c r="G647" s="111"/>
      <c r="I647" s="111"/>
      <c r="J647" s="111"/>
      <c r="K647" s="114"/>
      <c r="L647" s="111"/>
    </row>
    <row r="648">
      <c r="A648" s="117"/>
      <c r="C648" s="109"/>
      <c r="D648" s="110"/>
      <c r="E648" s="112"/>
      <c r="G648" s="111"/>
      <c r="I648" s="111"/>
      <c r="J648" s="111"/>
      <c r="K648" s="114"/>
      <c r="L648" s="111"/>
    </row>
    <row r="649">
      <c r="A649" s="117"/>
      <c r="C649" s="109"/>
      <c r="D649" s="110"/>
      <c r="E649" s="112"/>
      <c r="G649" s="111"/>
      <c r="I649" s="111"/>
      <c r="J649" s="111"/>
      <c r="K649" s="114"/>
      <c r="L649" s="111"/>
    </row>
    <row r="650">
      <c r="A650" s="117"/>
      <c r="C650" s="109"/>
      <c r="D650" s="110"/>
      <c r="E650" s="112"/>
      <c r="G650" s="111"/>
      <c r="I650" s="111"/>
      <c r="J650" s="111"/>
      <c r="K650" s="114"/>
      <c r="L650" s="111"/>
    </row>
    <row r="651">
      <c r="A651" s="117"/>
      <c r="C651" s="109"/>
      <c r="D651" s="110"/>
      <c r="E651" s="112"/>
      <c r="G651" s="111"/>
      <c r="I651" s="111"/>
      <c r="J651" s="111"/>
      <c r="K651" s="114"/>
      <c r="L651" s="111"/>
    </row>
    <row r="652">
      <c r="A652" s="117"/>
      <c r="C652" s="109"/>
      <c r="D652" s="110"/>
      <c r="E652" s="112"/>
      <c r="G652" s="111"/>
      <c r="I652" s="111"/>
      <c r="J652" s="111"/>
      <c r="K652" s="114"/>
      <c r="L652" s="111"/>
    </row>
    <row r="653">
      <c r="A653" s="117"/>
      <c r="C653" s="109"/>
      <c r="D653" s="110"/>
      <c r="E653" s="112"/>
      <c r="G653" s="111"/>
      <c r="I653" s="111"/>
      <c r="J653" s="111"/>
      <c r="K653" s="114"/>
      <c r="L653" s="111"/>
    </row>
    <row r="654">
      <c r="A654" s="117"/>
      <c r="C654" s="109"/>
      <c r="D654" s="110"/>
      <c r="E654" s="112"/>
      <c r="G654" s="111"/>
      <c r="I654" s="111"/>
      <c r="J654" s="111"/>
      <c r="K654" s="114"/>
      <c r="L654" s="111"/>
    </row>
    <row r="655">
      <c r="A655" s="117"/>
      <c r="C655" s="109"/>
      <c r="D655" s="110"/>
      <c r="E655" s="112"/>
      <c r="G655" s="111"/>
      <c r="I655" s="111"/>
      <c r="J655" s="111"/>
      <c r="K655" s="114"/>
      <c r="L655" s="111"/>
    </row>
    <row r="656">
      <c r="A656" s="117"/>
      <c r="C656" s="109"/>
      <c r="D656" s="110"/>
      <c r="E656" s="112"/>
      <c r="G656" s="111"/>
      <c r="I656" s="111"/>
      <c r="J656" s="111"/>
      <c r="K656" s="114"/>
      <c r="L656" s="111"/>
    </row>
    <row r="657">
      <c r="A657" s="117"/>
      <c r="C657" s="109"/>
      <c r="D657" s="110"/>
      <c r="E657" s="112"/>
      <c r="G657" s="111"/>
      <c r="I657" s="111"/>
      <c r="J657" s="111"/>
      <c r="K657" s="114"/>
      <c r="L657" s="111"/>
    </row>
    <row r="658">
      <c r="A658" s="117"/>
      <c r="C658" s="109"/>
      <c r="D658" s="110"/>
      <c r="E658" s="112"/>
      <c r="G658" s="111"/>
      <c r="I658" s="111"/>
      <c r="J658" s="111"/>
      <c r="K658" s="114"/>
      <c r="L658" s="111"/>
    </row>
    <row r="659">
      <c r="A659" s="117"/>
      <c r="C659" s="109"/>
      <c r="D659" s="110"/>
      <c r="E659" s="112"/>
      <c r="G659" s="111"/>
      <c r="I659" s="111"/>
      <c r="J659" s="111"/>
      <c r="K659" s="114"/>
      <c r="L659" s="111"/>
    </row>
    <row r="660">
      <c r="A660" s="117"/>
      <c r="C660" s="109"/>
      <c r="D660" s="110"/>
      <c r="E660" s="112"/>
      <c r="G660" s="111"/>
      <c r="I660" s="111"/>
      <c r="J660" s="111"/>
      <c r="K660" s="114"/>
      <c r="L660" s="111"/>
    </row>
    <row r="661">
      <c r="A661" s="117"/>
      <c r="C661" s="109"/>
      <c r="D661" s="110"/>
      <c r="E661" s="112"/>
      <c r="G661" s="111"/>
      <c r="I661" s="111"/>
      <c r="J661" s="111"/>
      <c r="K661" s="114"/>
      <c r="L661" s="111"/>
    </row>
    <row r="662">
      <c r="A662" s="117"/>
      <c r="C662" s="109"/>
      <c r="D662" s="110"/>
      <c r="E662" s="112"/>
      <c r="G662" s="111"/>
      <c r="I662" s="111"/>
      <c r="J662" s="111"/>
      <c r="K662" s="114"/>
      <c r="L662" s="111"/>
    </row>
    <row r="663">
      <c r="A663" s="117"/>
      <c r="C663" s="109"/>
      <c r="D663" s="110"/>
      <c r="E663" s="112"/>
      <c r="G663" s="111"/>
      <c r="I663" s="111"/>
      <c r="J663" s="111"/>
      <c r="K663" s="114"/>
      <c r="L663" s="111"/>
    </row>
    <row r="664">
      <c r="A664" s="117"/>
      <c r="C664" s="109"/>
      <c r="D664" s="110"/>
      <c r="E664" s="112"/>
      <c r="G664" s="111"/>
      <c r="I664" s="111"/>
      <c r="J664" s="111"/>
      <c r="K664" s="114"/>
      <c r="L664" s="111"/>
    </row>
    <row r="665">
      <c r="A665" s="117"/>
      <c r="C665" s="109"/>
      <c r="D665" s="110"/>
      <c r="E665" s="112"/>
      <c r="G665" s="111"/>
      <c r="I665" s="111"/>
      <c r="J665" s="111"/>
      <c r="K665" s="114"/>
      <c r="L665" s="111"/>
    </row>
    <row r="666">
      <c r="A666" s="117"/>
      <c r="C666" s="109"/>
      <c r="D666" s="110"/>
      <c r="E666" s="112"/>
      <c r="G666" s="111"/>
      <c r="I666" s="111"/>
      <c r="J666" s="111"/>
      <c r="K666" s="114"/>
      <c r="L666" s="111"/>
    </row>
    <row r="667">
      <c r="A667" s="117"/>
      <c r="C667" s="109"/>
      <c r="D667" s="110"/>
      <c r="E667" s="112"/>
      <c r="G667" s="111"/>
      <c r="I667" s="111"/>
      <c r="J667" s="111"/>
      <c r="K667" s="114"/>
      <c r="L667" s="111"/>
    </row>
    <row r="668">
      <c r="A668" s="117"/>
      <c r="C668" s="109"/>
      <c r="D668" s="110"/>
      <c r="E668" s="112"/>
      <c r="G668" s="111"/>
      <c r="I668" s="111"/>
      <c r="J668" s="111"/>
      <c r="K668" s="114"/>
      <c r="L668" s="111"/>
    </row>
    <row r="669">
      <c r="A669" s="117"/>
      <c r="C669" s="109"/>
      <c r="D669" s="110"/>
      <c r="E669" s="112"/>
      <c r="G669" s="111"/>
      <c r="I669" s="111"/>
      <c r="J669" s="111"/>
      <c r="K669" s="114"/>
      <c r="L669" s="111"/>
    </row>
    <row r="670">
      <c r="A670" s="117"/>
      <c r="C670" s="109"/>
      <c r="D670" s="110"/>
      <c r="E670" s="112"/>
      <c r="G670" s="111"/>
      <c r="I670" s="111"/>
      <c r="J670" s="111"/>
      <c r="K670" s="114"/>
      <c r="L670" s="111"/>
    </row>
    <row r="671">
      <c r="A671" s="117"/>
      <c r="C671" s="109"/>
      <c r="D671" s="110"/>
      <c r="E671" s="112"/>
      <c r="G671" s="111"/>
      <c r="I671" s="111"/>
      <c r="J671" s="111"/>
      <c r="K671" s="114"/>
      <c r="L671" s="111"/>
    </row>
    <row r="672">
      <c r="A672" s="117"/>
      <c r="C672" s="109"/>
      <c r="D672" s="110"/>
      <c r="E672" s="112"/>
      <c r="G672" s="111"/>
      <c r="I672" s="111"/>
      <c r="J672" s="111"/>
      <c r="K672" s="114"/>
      <c r="L672" s="111"/>
    </row>
    <row r="673">
      <c r="A673" s="117"/>
      <c r="C673" s="109"/>
      <c r="D673" s="110"/>
      <c r="E673" s="112"/>
      <c r="G673" s="111"/>
      <c r="I673" s="111"/>
      <c r="J673" s="111"/>
      <c r="K673" s="114"/>
      <c r="L673" s="111"/>
    </row>
    <row r="674">
      <c r="A674" s="117"/>
      <c r="C674" s="109"/>
      <c r="D674" s="110"/>
      <c r="E674" s="112"/>
      <c r="G674" s="111"/>
      <c r="I674" s="111"/>
      <c r="J674" s="111"/>
      <c r="K674" s="114"/>
      <c r="L674" s="111"/>
    </row>
    <row r="675">
      <c r="A675" s="117"/>
      <c r="C675" s="109"/>
      <c r="D675" s="110"/>
      <c r="E675" s="112"/>
      <c r="G675" s="111"/>
      <c r="I675" s="111"/>
      <c r="J675" s="111"/>
      <c r="K675" s="114"/>
      <c r="L675" s="111"/>
    </row>
    <row r="676">
      <c r="A676" s="117"/>
      <c r="C676" s="109"/>
      <c r="D676" s="110"/>
      <c r="E676" s="112"/>
      <c r="G676" s="111"/>
      <c r="I676" s="111"/>
      <c r="J676" s="111"/>
      <c r="K676" s="114"/>
      <c r="L676" s="111"/>
    </row>
    <row r="677">
      <c r="A677" s="117"/>
      <c r="C677" s="109"/>
      <c r="D677" s="110"/>
      <c r="E677" s="112"/>
      <c r="G677" s="111"/>
      <c r="I677" s="111"/>
      <c r="J677" s="111"/>
      <c r="K677" s="114"/>
      <c r="L677" s="111"/>
    </row>
    <row r="678">
      <c r="A678" s="117"/>
      <c r="C678" s="109"/>
      <c r="D678" s="110"/>
      <c r="E678" s="112"/>
      <c r="G678" s="111"/>
      <c r="I678" s="111"/>
      <c r="J678" s="111"/>
      <c r="K678" s="114"/>
      <c r="L678" s="111"/>
    </row>
    <row r="679">
      <c r="A679" s="117"/>
      <c r="C679" s="109"/>
      <c r="D679" s="110"/>
      <c r="E679" s="112"/>
      <c r="G679" s="111"/>
      <c r="I679" s="111"/>
      <c r="J679" s="111"/>
      <c r="K679" s="114"/>
      <c r="L679" s="111"/>
    </row>
    <row r="680">
      <c r="A680" s="117"/>
      <c r="C680" s="109"/>
      <c r="D680" s="110"/>
      <c r="E680" s="112"/>
      <c r="G680" s="111"/>
      <c r="I680" s="111"/>
      <c r="J680" s="111"/>
      <c r="K680" s="114"/>
      <c r="L680" s="111"/>
    </row>
    <row r="681">
      <c r="A681" s="117"/>
      <c r="C681" s="109"/>
      <c r="D681" s="110"/>
      <c r="E681" s="112"/>
      <c r="G681" s="111"/>
      <c r="I681" s="111"/>
      <c r="J681" s="111"/>
      <c r="K681" s="114"/>
      <c r="L681" s="111"/>
    </row>
    <row r="682">
      <c r="A682" s="117"/>
      <c r="C682" s="109"/>
      <c r="D682" s="110"/>
      <c r="E682" s="112"/>
      <c r="G682" s="111"/>
      <c r="I682" s="111"/>
      <c r="J682" s="111"/>
      <c r="K682" s="114"/>
      <c r="L682" s="111"/>
    </row>
    <row r="683">
      <c r="A683" s="117"/>
      <c r="C683" s="109"/>
      <c r="D683" s="110"/>
      <c r="E683" s="112"/>
      <c r="G683" s="111"/>
      <c r="I683" s="111"/>
      <c r="J683" s="111"/>
      <c r="K683" s="114"/>
      <c r="L683" s="111"/>
    </row>
    <row r="684">
      <c r="A684" s="117"/>
      <c r="C684" s="109"/>
      <c r="D684" s="110"/>
      <c r="E684" s="112"/>
      <c r="G684" s="111"/>
      <c r="I684" s="111"/>
      <c r="J684" s="111"/>
      <c r="K684" s="114"/>
      <c r="L684" s="111"/>
    </row>
    <row r="685">
      <c r="A685" s="117"/>
      <c r="C685" s="109"/>
      <c r="D685" s="110"/>
      <c r="E685" s="112"/>
      <c r="G685" s="111"/>
      <c r="I685" s="111"/>
      <c r="J685" s="111"/>
      <c r="K685" s="114"/>
      <c r="L685" s="111"/>
    </row>
    <row r="686">
      <c r="A686" s="117"/>
      <c r="C686" s="109"/>
      <c r="D686" s="110"/>
      <c r="E686" s="112"/>
      <c r="G686" s="111"/>
      <c r="I686" s="111"/>
      <c r="J686" s="111"/>
      <c r="K686" s="114"/>
      <c r="L686" s="111"/>
    </row>
    <row r="687">
      <c r="A687" s="117"/>
      <c r="C687" s="109"/>
      <c r="D687" s="110"/>
      <c r="E687" s="112"/>
      <c r="G687" s="111"/>
      <c r="I687" s="111"/>
      <c r="J687" s="111"/>
      <c r="K687" s="114"/>
      <c r="L687" s="111"/>
    </row>
    <row r="688">
      <c r="A688" s="117"/>
      <c r="C688" s="109"/>
      <c r="D688" s="110"/>
      <c r="E688" s="112"/>
      <c r="G688" s="111"/>
      <c r="I688" s="111"/>
      <c r="J688" s="111"/>
      <c r="K688" s="114"/>
      <c r="L688" s="111"/>
    </row>
    <row r="689">
      <c r="A689" s="117"/>
      <c r="C689" s="109"/>
      <c r="D689" s="110"/>
      <c r="E689" s="112"/>
      <c r="G689" s="111"/>
      <c r="I689" s="111"/>
      <c r="J689" s="111"/>
      <c r="K689" s="114"/>
      <c r="L689" s="111"/>
    </row>
    <row r="690">
      <c r="A690" s="117"/>
      <c r="C690" s="109"/>
      <c r="D690" s="110"/>
      <c r="E690" s="112"/>
      <c r="G690" s="111"/>
      <c r="I690" s="111"/>
      <c r="J690" s="111"/>
      <c r="K690" s="114"/>
      <c r="L690" s="111"/>
    </row>
    <row r="691">
      <c r="A691" s="117"/>
      <c r="C691" s="109"/>
      <c r="D691" s="110"/>
      <c r="E691" s="112"/>
      <c r="G691" s="111"/>
      <c r="I691" s="111"/>
      <c r="J691" s="111"/>
      <c r="K691" s="114"/>
      <c r="L691" s="111"/>
    </row>
    <row r="692">
      <c r="A692" s="117"/>
      <c r="C692" s="109"/>
      <c r="D692" s="110"/>
      <c r="E692" s="112"/>
      <c r="G692" s="111"/>
      <c r="I692" s="111"/>
      <c r="J692" s="111"/>
      <c r="K692" s="114"/>
      <c r="L692" s="111"/>
    </row>
    <row r="693">
      <c r="A693" s="117"/>
      <c r="C693" s="109"/>
      <c r="D693" s="110"/>
      <c r="E693" s="112"/>
      <c r="G693" s="111"/>
      <c r="I693" s="111"/>
      <c r="J693" s="111"/>
      <c r="K693" s="114"/>
      <c r="L693" s="111"/>
    </row>
    <row r="694">
      <c r="A694" s="117"/>
      <c r="C694" s="109"/>
      <c r="D694" s="110"/>
      <c r="E694" s="112"/>
      <c r="G694" s="111"/>
      <c r="I694" s="111"/>
      <c r="J694" s="111"/>
      <c r="K694" s="114"/>
      <c r="L694" s="111"/>
    </row>
    <row r="695">
      <c r="A695" s="117"/>
      <c r="C695" s="109"/>
      <c r="D695" s="110"/>
      <c r="E695" s="112"/>
      <c r="G695" s="111"/>
      <c r="I695" s="111"/>
      <c r="J695" s="111"/>
      <c r="K695" s="114"/>
      <c r="L695" s="111"/>
    </row>
    <row r="696">
      <c r="A696" s="117"/>
      <c r="C696" s="109"/>
      <c r="D696" s="110"/>
      <c r="E696" s="112"/>
      <c r="G696" s="111"/>
      <c r="I696" s="111"/>
      <c r="J696" s="111"/>
      <c r="K696" s="114"/>
      <c r="L696" s="111"/>
    </row>
    <row r="697">
      <c r="A697" s="117"/>
      <c r="C697" s="109"/>
      <c r="D697" s="110"/>
      <c r="E697" s="112"/>
      <c r="G697" s="111"/>
      <c r="I697" s="111"/>
      <c r="J697" s="111"/>
      <c r="K697" s="114"/>
      <c r="L697" s="111"/>
    </row>
    <row r="698">
      <c r="A698" s="117"/>
      <c r="C698" s="109"/>
      <c r="D698" s="110"/>
      <c r="E698" s="112"/>
      <c r="G698" s="111"/>
      <c r="I698" s="111"/>
      <c r="J698" s="111"/>
      <c r="K698" s="114"/>
      <c r="L698" s="111"/>
    </row>
    <row r="699">
      <c r="A699" s="117"/>
      <c r="C699" s="109"/>
      <c r="D699" s="110"/>
      <c r="E699" s="112"/>
      <c r="G699" s="111"/>
      <c r="I699" s="111"/>
      <c r="J699" s="111"/>
      <c r="K699" s="114"/>
      <c r="L699" s="111"/>
    </row>
    <row r="700">
      <c r="A700" s="117"/>
      <c r="C700" s="109"/>
      <c r="D700" s="110"/>
      <c r="E700" s="112"/>
      <c r="G700" s="111"/>
      <c r="I700" s="111"/>
      <c r="J700" s="111"/>
      <c r="K700" s="114"/>
      <c r="L700" s="111"/>
    </row>
    <row r="701">
      <c r="A701" s="117"/>
      <c r="C701" s="109"/>
      <c r="D701" s="110"/>
      <c r="E701" s="112"/>
      <c r="G701" s="111"/>
      <c r="I701" s="111"/>
      <c r="J701" s="111"/>
      <c r="K701" s="114"/>
      <c r="L701" s="111"/>
    </row>
    <row r="702">
      <c r="A702" s="117"/>
      <c r="C702" s="109"/>
      <c r="D702" s="110"/>
      <c r="E702" s="112"/>
      <c r="G702" s="111"/>
      <c r="I702" s="111"/>
      <c r="J702" s="111"/>
      <c r="K702" s="114"/>
      <c r="L702" s="111"/>
    </row>
    <row r="703">
      <c r="A703" s="117"/>
      <c r="C703" s="109"/>
      <c r="D703" s="110"/>
      <c r="E703" s="112"/>
      <c r="G703" s="111"/>
      <c r="I703" s="111"/>
      <c r="J703" s="111"/>
      <c r="K703" s="114"/>
      <c r="L703" s="111"/>
    </row>
    <row r="704">
      <c r="A704" s="117"/>
      <c r="C704" s="109"/>
      <c r="D704" s="110"/>
      <c r="E704" s="112"/>
      <c r="G704" s="111"/>
      <c r="I704" s="111"/>
      <c r="J704" s="111"/>
      <c r="K704" s="114"/>
      <c r="L704" s="111"/>
    </row>
    <row r="705">
      <c r="A705" s="117"/>
      <c r="C705" s="109"/>
      <c r="D705" s="110"/>
      <c r="E705" s="112"/>
      <c r="G705" s="111"/>
      <c r="I705" s="111"/>
      <c r="J705" s="111"/>
      <c r="K705" s="114"/>
      <c r="L705" s="111"/>
    </row>
    <row r="706">
      <c r="A706" s="117"/>
      <c r="C706" s="109"/>
      <c r="D706" s="110"/>
      <c r="E706" s="112"/>
      <c r="G706" s="111"/>
      <c r="I706" s="111"/>
      <c r="J706" s="111"/>
      <c r="K706" s="114"/>
      <c r="L706" s="111"/>
    </row>
    <row r="707">
      <c r="A707" s="117"/>
      <c r="C707" s="109"/>
      <c r="D707" s="110"/>
      <c r="E707" s="112"/>
      <c r="G707" s="111"/>
      <c r="I707" s="111"/>
      <c r="J707" s="111"/>
      <c r="K707" s="114"/>
      <c r="L707" s="111"/>
    </row>
    <row r="708">
      <c r="A708" s="117"/>
      <c r="C708" s="109"/>
      <c r="D708" s="110"/>
      <c r="E708" s="112"/>
      <c r="G708" s="111"/>
      <c r="I708" s="111"/>
      <c r="J708" s="111"/>
      <c r="K708" s="114"/>
      <c r="L708" s="111"/>
    </row>
    <row r="709">
      <c r="A709" s="117"/>
      <c r="C709" s="109"/>
      <c r="D709" s="110"/>
      <c r="E709" s="112"/>
      <c r="G709" s="111"/>
      <c r="I709" s="111"/>
      <c r="J709" s="111"/>
      <c r="K709" s="114"/>
      <c r="L709" s="111"/>
    </row>
    <row r="710">
      <c r="A710" s="117"/>
      <c r="C710" s="109"/>
      <c r="D710" s="110"/>
      <c r="E710" s="112"/>
      <c r="G710" s="111"/>
      <c r="I710" s="111"/>
      <c r="J710" s="111"/>
      <c r="K710" s="114"/>
      <c r="L710" s="111"/>
    </row>
    <row r="711">
      <c r="A711" s="117"/>
      <c r="C711" s="109"/>
      <c r="D711" s="110"/>
      <c r="E711" s="112"/>
      <c r="G711" s="111"/>
      <c r="I711" s="111"/>
      <c r="J711" s="111"/>
      <c r="K711" s="114"/>
      <c r="L711" s="111"/>
    </row>
    <row r="712">
      <c r="A712" s="117"/>
      <c r="C712" s="109"/>
      <c r="D712" s="110"/>
      <c r="E712" s="112"/>
      <c r="G712" s="111"/>
      <c r="I712" s="111"/>
      <c r="J712" s="111"/>
      <c r="K712" s="114"/>
      <c r="L712" s="111"/>
    </row>
    <row r="713">
      <c r="A713" s="117"/>
      <c r="C713" s="109"/>
      <c r="D713" s="110"/>
      <c r="E713" s="112"/>
      <c r="G713" s="111"/>
      <c r="I713" s="111"/>
      <c r="J713" s="111"/>
      <c r="K713" s="114"/>
      <c r="L713" s="111"/>
    </row>
    <row r="714">
      <c r="A714" s="117"/>
      <c r="C714" s="109"/>
      <c r="D714" s="110"/>
      <c r="E714" s="112"/>
      <c r="G714" s="111"/>
      <c r="I714" s="111"/>
      <c r="J714" s="111"/>
      <c r="K714" s="114"/>
      <c r="L714" s="111"/>
    </row>
    <row r="715">
      <c r="A715" s="117"/>
      <c r="C715" s="109"/>
      <c r="D715" s="110"/>
      <c r="E715" s="112"/>
      <c r="G715" s="111"/>
      <c r="I715" s="111"/>
      <c r="J715" s="111"/>
      <c r="K715" s="114"/>
      <c r="L715" s="111"/>
    </row>
    <row r="716">
      <c r="A716" s="117"/>
      <c r="C716" s="109"/>
      <c r="D716" s="110"/>
      <c r="E716" s="112"/>
      <c r="G716" s="111"/>
      <c r="I716" s="111"/>
      <c r="J716" s="111"/>
      <c r="K716" s="114"/>
      <c r="L716" s="111"/>
    </row>
    <row r="717">
      <c r="A717" s="117"/>
      <c r="C717" s="109"/>
      <c r="D717" s="110"/>
      <c r="E717" s="112"/>
      <c r="G717" s="111"/>
      <c r="I717" s="111"/>
      <c r="J717" s="111"/>
      <c r="K717" s="114"/>
      <c r="L717" s="111"/>
    </row>
    <row r="718">
      <c r="A718" s="117"/>
      <c r="C718" s="109"/>
      <c r="D718" s="110"/>
      <c r="E718" s="112"/>
      <c r="G718" s="111"/>
      <c r="I718" s="111"/>
      <c r="J718" s="111"/>
      <c r="K718" s="114"/>
      <c r="L718" s="111"/>
    </row>
    <row r="719">
      <c r="A719" s="117"/>
      <c r="C719" s="109"/>
      <c r="D719" s="110"/>
      <c r="E719" s="112"/>
      <c r="G719" s="111"/>
      <c r="I719" s="111"/>
      <c r="J719" s="111"/>
      <c r="K719" s="114"/>
      <c r="L719" s="111"/>
    </row>
    <row r="720">
      <c r="A720" s="117"/>
      <c r="C720" s="109"/>
      <c r="D720" s="110"/>
      <c r="E720" s="112"/>
      <c r="G720" s="111"/>
      <c r="I720" s="111"/>
      <c r="J720" s="111"/>
      <c r="K720" s="114"/>
      <c r="L720" s="111"/>
    </row>
    <row r="721">
      <c r="A721" s="117"/>
      <c r="C721" s="109"/>
      <c r="D721" s="110"/>
      <c r="E721" s="112"/>
      <c r="G721" s="111"/>
      <c r="I721" s="111"/>
      <c r="J721" s="111"/>
      <c r="K721" s="114"/>
      <c r="L721" s="111"/>
    </row>
    <row r="722">
      <c r="A722" s="117"/>
      <c r="C722" s="109"/>
      <c r="D722" s="110"/>
      <c r="E722" s="112"/>
      <c r="G722" s="111"/>
      <c r="I722" s="111"/>
      <c r="J722" s="111"/>
      <c r="K722" s="114"/>
      <c r="L722" s="111"/>
    </row>
    <row r="723">
      <c r="A723" s="117"/>
      <c r="C723" s="109"/>
      <c r="D723" s="110"/>
      <c r="E723" s="112"/>
      <c r="G723" s="111"/>
      <c r="I723" s="111"/>
      <c r="J723" s="111"/>
      <c r="K723" s="114"/>
      <c r="L723" s="111"/>
    </row>
    <row r="724">
      <c r="A724" s="117"/>
      <c r="C724" s="109"/>
      <c r="D724" s="110"/>
      <c r="E724" s="112"/>
      <c r="G724" s="111"/>
      <c r="I724" s="111"/>
      <c r="J724" s="111"/>
      <c r="K724" s="114"/>
      <c r="L724" s="111"/>
    </row>
    <row r="725">
      <c r="A725" s="117"/>
      <c r="C725" s="109"/>
      <c r="D725" s="110"/>
      <c r="E725" s="112"/>
      <c r="G725" s="111"/>
      <c r="I725" s="111"/>
      <c r="J725" s="111"/>
      <c r="K725" s="114"/>
      <c r="L725" s="111"/>
    </row>
    <row r="726">
      <c r="A726" s="117"/>
      <c r="C726" s="109"/>
      <c r="D726" s="110"/>
      <c r="E726" s="112"/>
      <c r="G726" s="111"/>
      <c r="I726" s="111"/>
      <c r="J726" s="111"/>
      <c r="K726" s="114"/>
      <c r="L726" s="111"/>
    </row>
    <row r="727">
      <c r="A727" s="117"/>
      <c r="C727" s="109"/>
      <c r="D727" s="110"/>
      <c r="E727" s="112"/>
      <c r="G727" s="111"/>
      <c r="I727" s="111"/>
      <c r="J727" s="111"/>
      <c r="K727" s="114"/>
      <c r="L727" s="111"/>
    </row>
    <row r="728">
      <c r="A728" s="117"/>
      <c r="C728" s="109"/>
      <c r="D728" s="110"/>
      <c r="E728" s="112"/>
      <c r="G728" s="111"/>
      <c r="I728" s="111"/>
      <c r="J728" s="111"/>
      <c r="K728" s="114"/>
      <c r="L728" s="111"/>
    </row>
    <row r="729">
      <c r="A729" s="117"/>
      <c r="C729" s="109"/>
      <c r="D729" s="110"/>
      <c r="E729" s="112"/>
      <c r="G729" s="111"/>
      <c r="I729" s="111"/>
      <c r="J729" s="111"/>
      <c r="K729" s="114"/>
      <c r="L729" s="111"/>
    </row>
    <row r="730">
      <c r="A730" s="117"/>
      <c r="C730" s="109"/>
      <c r="D730" s="110"/>
      <c r="E730" s="112"/>
      <c r="G730" s="111"/>
      <c r="I730" s="111"/>
      <c r="J730" s="111"/>
      <c r="K730" s="114"/>
      <c r="L730" s="111"/>
    </row>
    <row r="731">
      <c r="A731" s="117"/>
      <c r="C731" s="109"/>
      <c r="D731" s="110"/>
      <c r="E731" s="112"/>
      <c r="G731" s="111"/>
      <c r="I731" s="111"/>
      <c r="J731" s="111"/>
      <c r="K731" s="114"/>
      <c r="L731" s="111"/>
    </row>
    <row r="732">
      <c r="A732" s="117"/>
      <c r="C732" s="109"/>
      <c r="D732" s="110"/>
      <c r="E732" s="112"/>
      <c r="G732" s="111"/>
      <c r="I732" s="111"/>
      <c r="J732" s="111"/>
      <c r="K732" s="114"/>
      <c r="L732" s="111"/>
    </row>
    <row r="733">
      <c r="A733" s="117"/>
      <c r="C733" s="109"/>
      <c r="D733" s="110"/>
      <c r="E733" s="112"/>
      <c r="G733" s="111"/>
      <c r="I733" s="111"/>
      <c r="J733" s="111"/>
      <c r="K733" s="114"/>
      <c r="L733" s="111"/>
    </row>
    <row r="734">
      <c r="A734" s="117"/>
      <c r="C734" s="109"/>
      <c r="D734" s="110"/>
      <c r="E734" s="112"/>
      <c r="G734" s="111"/>
      <c r="I734" s="111"/>
      <c r="J734" s="111"/>
      <c r="K734" s="114"/>
      <c r="L734" s="111"/>
    </row>
    <row r="735">
      <c r="A735" s="117"/>
      <c r="C735" s="109"/>
      <c r="D735" s="110"/>
      <c r="E735" s="112"/>
      <c r="G735" s="111"/>
      <c r="I735" s="111"/>
      <c r="J735" s="111"/>
      <c r="K735" s="114"/>
      <c r="L735" s="111"/>
    </row>
    <row r="736">
      <c r="A736" s="117"/>
      <c r="C736" s="109"/>
      <c r="D736" s="110"/>
      <c r="E736" s="112"/>
      <c r="G736" s="111"/>
      <c r="I736" s="111"/>
      <c r="J736" s="111"/>
      <c r="K736" s="114"/>
      <c r="L736" s="111"/>
    </row>
    <row r="737">
      <c r="A737" s="117"/>
      <c r="C737" s="109"/>
      <c r="D737" s="110"/>
      <c r="E737" s="112"/>
      <c r="G737" s="111"/>
      <c r="I737" s="111"/>
      <c r="J737" s="111"/>
      <c r="K737" s="114"/>
      <c r="L737" s="111"/>
    </row>
    <row r="738">
      <c r="A738" s="117"/>
      <c r="C738" s="109"/>
      <c r="D738" s="110"/>
      <c r="E738" s="112"/>
      <c r="G738" s="111"/>
      <c r="I738" s="111"/>
      <c r="J738" s="111"/>
      <c r="K738" s="114"/>
      <c r="L738" s="111"/>
    </row>
    <row r="739">
      <c r="A739" s="117"/>
      <c r="C739" s="109"/>
      <c r="D739" s="110"/>
      <c r="E739" s="112"/>
      <c r="G739" s="111"/>
      <c r="I739" s="111"/>
      <c r="J739" s="111"/>
      <c r="K739" s="114"/>
      <c r="L739" s="111"/>
    </row>
    <row r="740">
      <c r="A740" s="117"/>
      <c r="C740" s="109"/>
      <c r="D740" s="110"/>
      <c r="E740" s="112"/>
      <c r="G740" s="111"/>
      <c r="I740" s="111"/>
      <c r="J740" s="111"/>
      <c r="K740" s="114"/>
      <c r="L740" s="111"/>
    </row>
    <row r="741">
      <c r="A741" s="117"/>
      <c r="C741" s="109"/>
      <c r="D741" s="110"/>
      <c r="E741" s="112"/>
      <c r="G741" s="111"/>
      <c r="I741" s="111"/>
      <c r="J741" s="111"/>
      <c r="K741" s="114"/>
      <c r="L741" s="111"/>
    </row>
    <row r="742">
      <c r="A742" s="117"/>
      <c r="C742" s="109"/>
      <c r="D742" s="110"/>
      <c r="E742" s="112"/>
      <c r="G742" s="111"/>
      <c r="I742" s="111"/>
      <c r="J742" s="111"/>
      <c r="K742" s="114"/>
      <c r="L742" s="111"/>
    </row>
    <row r="743">
      <c r="A743" s="117"/>
      <c r="C743" s="109"/>
      <c r="D743" s="110"/>
      <c r="E743" s="112"/>
      <c r="G743" s="111"/>
      <c r="I743" s="111"/>
      <c r="J743" s="111"/>
      <c r="K743" s="114"/>
      <c r="L743" s="111"/>
    </row>
    <row r="744">
      <c r="A744" s="117"/>
      <c r="C744" s="109"/>
      <c r="D744" s="110"/>
      <c r="E744" s="112"/>
      <c r="G744" s="111"/>
      <c r="I744" s="111"/>
      <c r="J744" s="111"/>
      <c r="K744" s="114"/>
      <c r="L744" s="111"/>
    </row>
    <row r="745">
      <c r="A745" s="117"/>
      <c r="C745" s="109"/>
      <c r="D745" s="110"/>
      <c r="E745" s="112"/>
      <c r="G745" s="111"/>
      <c r="I745" s="111"/>
      <c r="J745" s="111"/>
      <c r="K745" s="114"/>
      <c r="L745" s="111"/>
    </row>
    <row r="746">
      <c r="A746" s="117"/>
      <c r="C746" s="109"/>
      <c r="D746" s="110"/>
      <c r="E746" s="112"/>
      <c r="G746" s="111"/>
      <c r="I746" s="111"/>
      <c r="J746" s="111"/>
      <c r="K746" s="114"/>
      <c r="L746" s="111"/>
    </row>
    <row r="747">
      <c r="A747" s="117"/>
      <c r="C747" s="109"/>
      <c r="D747" s="110"/>
      <c r="E747" s="112"/>
      <c r="G747" s="111"/>
      <c r="I747" s="111"/>
      <c r="J747" s="111"/>
      <c r="K747" s="114"/>
      <c r="L747" s="111"/>
    </row>
    <row r="748">
      <c r="A748" s="117"/>
      <c r="C748" s="109"/>
      <c r="D748" s="110"/>
      <c r="E748" s="112"/>
      <c r="G748" s="111"/>
      <c r="I748" s="111"/>
      <c r="J748" s="111"/>
      <c r="K748" s="114"/>
      <c r="L748" s="111"/>
    </row>
    <row r="749">
      <c r="A749" s="117"/>
      <c r="C749" s="109"/>
      <c r="D749" s="110"/>
      <c r="E749" s="112"/>
      <c r="G749" s="111"/>
      <c r="I749" s="111"/>
      <c r="J749" s="111"/>
      <c r="K749" s="114"/>
      <c r="L749" s="111"/>
    </row>
    <row r="750">
      <c r="A750" s="117"/>
      <c r="C750" s="109"/>
      <c r="D750" s="110"/>
      <c r="E750" s="112"/>
      <c r="G750" s="111"/>
      <c r="I750" s="111"/>
      <c r="J750" s="111"/>
      <c r="K750" s="114"/>
      <c r="L750" s="111"/>
    </row>
    <row r="751">
      <c r="A751" s="117"/>
      <c r="C751" s="109"/>
      <c r="D751" s="110"/>
      <c r="E751" s="112"/>
      <c r="G751" s="111"/>
      <c r="I751" s="111"/>
      <c r="J751" s="111"/>
      <c r="K751" s="114"/>
      <c r="L751" s="111"/>
    </row>
    <row r="752">
      <c r="A752" s="117"/>
      <c r="C752" s="109"/>
      <c r="D752" s="110"/>
      <c r="E752" s="112"/>
      <c r="G752" s="111"/>
      <c r="I752" s="111"/>
      <c r="J752" s="111"/>
      <c r="K752" s="114"/>
      <c r="L752" s="111"/>
    </row>
    <row r="753">
      <c r="A753" s="117"/>
      <c r="C753" s="109"/>
      <c r="D753" s="110"/>
      <c r="E753" s="112"/>
      <c r="G753" s="111"/>
      <c r="I753" s="111"/>
      <c r="J753" s="111"/>
      <c r="K753" s="114"/>
      <c r="L753" s="111"/>
    </row>
    <row r="754">
      <c r="A754" s="117"/>
      <c r="C754" s="109"/>
      <c r="D754" s="110"/>
      <c r="E754" s="112"/>
      <c r="G754" s="111"/>
      <c r="I754" s="111"/>
      <c r="J754" s="111"/>
      <c r="K754" s="114"/>
      <c r="L754" s="111"/>
    </row>
    <row r="755">
      <c r="A755" s="117"/>
      <c r="C755" s="109"/>
      <c r="D755" s="110"/>
      <c r="E755" s="112"/>
      <c r="G755" s="111"/>
      <c r="I755" s="111"/>
      <c r="J755" s="111"/>
      <c r="K755" s="114"/>
      <c r="L755" s="111"/>
    </row>
    <row r="756">
      <c r="A756" s="117"/>
      <c r="C756" s="109"/>
      <c r="D756" s="110"/>
      <c r="E756" s="112"/>
      <c r="G756" s="111"/>
      <c r="I756" s="111"/>
      <c r="J756" s="111"/>
      <c r="K756" s="114"/>
      <c r="L756" s="111"/>
    </row>
    <row r="757">
      <c r="A757" s="117"/>
      <c r="C757" s="109"/>
      <c r="D757" s="110"/>
      <c r="E757" s="112"/>
      <c r="G757" s="111"/>
      <c r="I757" s="111"/>
      <c r="J757" s="111"/>
      <c r="K757" s="114"/>
      <c r="L757" s="111"/>
    </row>
    <row r="758">
      <c r="A758" s="117"/>
      <c r="C758" s="109"/>
      <c r="D758" s="110"/>
      <c r="E758" s="112"/>
      <c r="G758" s="111"/>
      <c r="I758" s="111"/>
      <c r="J758" s="111"/>
      <c r="K758" s="114"/>
      <c r="L758" s="111"/>
    </row>
    <row r="759">
      <c r="A759" s="117"/>
      <c r="C759" s="109"/>
      <c r="D759" s="110"/>
      <c r="E759" s="112"/>
      <c r="G759" s="111"/>
      <c r="I759" s="111"/>
      <c r="J759" s="111"/>
      <c r="K759" s="114"/>
      <c r="L759" s="111"/>
    </row>
    <row r="760">
      <c r="A760" s="117"/>
      <c r="C760" s="109"/>
      <c r="D760" s="110"/>
      <c r="E760" s="112"/>
      <c r="G760" s="111"/>
      <c r="I760" s="111"/>
      <c r="J760" s="111"/>
      <c r="K760" s="114"/>
      <c r="L760" s="111"/>
    </row>
    <row r="761">
      <c r="A761" s="117"/>
      <c r="C761" s="109"/>
      <c r="D761" s="110"/>
      <c r="E761" s="112"/>
      <c r="G761" s="111"/>
      <c r="I761" s="111"/>
      <c r="J761" s="111"/>
      <c r="K761" s="114"/>
      <c r="L761" s="111"/>
    </row>
    <row r="762">
      <c r="A762" s="117"/>
      <c r="C762" s="109"/>
      <c r="D762" s="110"/>
      <c r="E762" s="112"/>
      <c r="G762" s="111"/>
      <c r="I762" s="111"/>
      <c r="J762" s="111"/>
      <c r="K762" s="114"/>
      <c r="L762" s="111"/>
    </row>
    <row r="763">
      <c r="A763" s="117"/>
      <c r="C763" s="109"/>
      <c r="D763" s="110"/>
      <c r="E763" s="112"/>
      <c r="G763" s="111"/>
      <c r="I763" s="111"/>
      <c r="J763" s="111"/>
      <c r="K763" s="114"/>
      <c r="L763" s="111"/>
    </row>
    <row r="764">
      <c r="A764" s="117"/>
      <c r="C764" s="109"/>
      <c r="D764" s="110"/>
      <c r="E764" s="112"/>
      <c r="G764" s="111"/>
      <c r="I764" s="111"/>
      <c r="J764" s="111"/>
      <c r="K764" s="114"/>
      <c r="L764" s="111"/>
    </row>
    <row r="765">
      <c r="A765" s="117"/>
      <c r="C765" s="109"/>
      <c r="D765" s="110"/>
      <c r="E765" s="112"/>
      <c r="G765" s="111"/>
      <c r="I765" s="111"/>
      <c r="J765" s="111"/>
      <c r="K765" s="114"/>
      <c r="L765" s="111"/>
    </row>
    <row r="766">
      <c r="A766" s="117"/>
      <c r="C766" s="109"/>
      <c r="D766" s="110"/>
      <c r="E766" s="112"/>
      <c r="G766" s="111"/>
      <c r="I766" s="111"/>
      <c r="J766" s="111"/>
      <c r="K766" s="114"/>
      <c r="L766" s="111"/>
    </row>
    <row r="767">
      <c r="A767" s="117"/>
      <c r="C767" s="109"/>
      <c r="D767" s="110"/>
      <c r="E767" s="112"/>
      <c r="G767" s="111"/>
      <c r="I767" s="111"/>
      <c r="J767" s="111"/>
      <c r="K767" s="114"/>
      <c r="L767" s="111"/>
    </row>
    <row r="768">
      <c r="A768" s="117"/>
      <c r="C768" s="109"/>
      <c r="D768" s="110"/>
      <c r="E768" s="112"/>
      <c r="G768" s="111"/>
      <c r="I768" s="111"/>
      <c r="J768" s="111"/>
      <c r="K768" s="114"/>
      <c r="L768" s="111"/>
    </row>
    <row r="769">
      <c r="A769" s="117"/>
      <c r="C769" s="109"/>
      <c r="D769" s="110"/>
      <c r="E769" s="112"/>
      <c r="G769" s="111"/>
      <c r="I769" s="111"/>
      <c r="J769" s="111"/>
      <c r="K769" s="114"/>
      <c r="L769" s="111"/>
    </row>
    <row r="770">
      <c r="A770" s="117"/>
      <c r="C770" s="109"/>
      <c r="D770" s="110"/>
      <c r="E770" s="112"/>
      <c r="G770" s="111"/>
      <c r="I770" s="111"/>
      <c r="J770" s="111"/>
      <c r="K770" s="114"/>
      <c r="L770" s="111"/>
    </row>
    <row r="771">
      <c r="A771" s="117"/>
      <c r="C771" s="109"/>
      <c r="D771" s="110"/>
      <c r="E771" s="112"/>
      <c r="G771" s="111"/>
      <c r="I771" s="111"/>
      <c r="J771" s="111"/>
      <c r="K771" s="114"/>
      <c r="L771" s="111"/>
    </row>
    <row r="772">
      <c r="A772" s="117"/>
      <c r="C772" s="109"/>
      <c r="D772" s="110"/>
      <c r="E772" s="112"/>
      <c r="G772" s="111"/>
      <c r="I772" s="111"/>
      <c r="J772" s="111"/>
      <c r="K772" s="114"/>
      <c r="L772" s="111"/>
    </row>
    <row r="773">
      <c r="A773" s="117"/>
      <c r="C773" s="109"/>
      <c r="D773" s="110"/>
      <c r="E773" s="112"/>
      <c r="G773" s="111"/>
      <c r="I773" s="111"/>
      <c r="J773" s="111"/>
      <c r="K773" s="114"/>
      <c r="L773" s="111"/>
    </row>
    <row r="774">
      <c r="A774" s="117"/>
      <c r="C774" s="109"/>
      <c r="D774" s="110"/>
      <c r="E774" s="112"/>
      <c r="G774" s="111"/>
      <c r="I774" s="111"/>
      <c r="J774" s="111"/>
      <c r="K774" s="114"/>
      <c r="L774" s="111"/>
    </row>
    <row r="775">
      <c r="A775" s="117"/>
      <c r="C775" s="109"/>
      <c r="D775" s="110"/>
      <c r="E775" s="112"/>
      <c r="G775" s="111"/>
      <c r="I775" s="111"/>
      <c r="J775" s="111"/>
      <c r="K775" s="114"/>
      <c r="L775" s="111"/>
    </row>
    <row r="776">
      <c r="A776" s="117"/>
      <c r="C776" s="109"/>
      <c r="D776" s="110"/>
      <c r="E776" s="112"/>
      <c r="G776" s="111"/>
      <c r="I776" s="111"/>
      <c r="J776" s="111"/>
      <c r="K776" s="114"/>
      <c r="L776" s="111"/>
    </row>
    <row r="777">
      <c r="A777" s="117"/>
      <c r="C777" s="109"/>
      <c r="D777" s="110"/>
      <c r="E777" s="112"/>
      <c r="G777" s="111"/>
      <c r="I777" s="111"/>
      <c r="J777" s="111"/>
      <c r="K777" s="114"/>
      <c r="L777" s="111"/>
    </row>
    <row r="778">
      <c r="A778" s="117"/>
      <c r="C778" s="109"/>
      <c r="D778" s="110"/>
      <c r="E778" s="112"/>
      <c r="G778" s="111"/>
      <c r="I778" s="111"/>
      <c r="J778" s="111"/>
      <c r="K778" s="114"/>
      <c r="L778" s="111"/>
    </row>
    <row r="779">
      <c r="A779" s="117"/>
      <c r="C779" s="109"/>
      <c r="D779" s="110"/>
      <c r="E779" s="112"/>
      <c r="G779" s="111"/>
      <c r="I779" s="111"/>
      <c r="J779" s="111"/>
      <c r="K779" s="114"/>
      <c r="L779" s="111"/>
    </row>
    <row r="780">
      <c r="A780" s="117"/>
      <c r="C780" s="109"/>
      <c r="D780" s="110"/>
      <c r="E780" s="112"/>
      <c r="G780" s="111"/>
      <c r="I780" s="111"/>
      <c r="J780" s="111"/>
      <c r="K780" s="114"/>
      <c r="L780" s="111"/>
    </row>
    <row r="781">
      <c r="A781" s="117"/>
      <c r="C781" s="109"/>
      <c r="D781" s="110"/>
      <c r="E781" s="112"/>
      <c r="G781" s="111"/>
      <c r="I781" s="111"/>
      <c r="J781" s="111"/>
      <c r="K781" s="114"/>
      <c r="L781" s="111"/>
    </row>
    <row r="782">
      <c r="A782" s="117"/>
      <c r="C782" s="109"/>
      <c r="D782" s="110"/>
      <c r="E782" s="112"/>
      <c r="G782" s="111"/>
      <c r="I782" s="111"/>
      <c r="J782" s="111"/>
      <c r="K782" s="114"/>
      <c r="L782" s="111"/>
    </row>
    <row r="783">
      <c r="A783" s="117"/>
      <c r="C783" s="109"/>
      <c r="D783" s="110"/>
      <c r="E783" s="112"/>
      <c r="G783" s="111"/>
      <c r="I783" s="111"/>
      <c r="J783" s="111"/>
      <c r="K783" s="114"/>
      <c r="L783" s="111"/>
    </row>
    <row r="784">
      <c r="A784" s="117"/>
      <c r="C784" s="109"/>
      <c r="D784" s="110"/>
      <c r="E784" s="112"/>
      <c r="G784" s="111"/>
      <c r="I784" s="111"/>
      <c r="J784" s="111"/>
      <c r="K784" s="114"/>
      <c r="L784" s="111"/>
    </row>
    <row r="785">
      <c r="A785" s="117"/>
      <c r="C785" s="109"/>
      <c r="D785" s="110"/>
      <c r="E785" s="112"/>
      <c r="G785" s="111"/>
      <c r="I785" s="111"/>
      <c r="J785" s="111"/>
      <c r="K785" s="114"/>
      <c r="L785" s="111"/>
    </row>
    <row r="786">
      <c r="A786" s="117"/>
      <c r="C786" s="109"/>
      <c r="D786" s="110"/>
      <c r="E786" s="112"/>
      <c r="G786" s="111"/>
      <c r="I786" s="111"/>
      <c r="J786" s="111"/>
      <c r="K786" s="114"/>
      <c r="L786" s="111"/>
    </row>
    <row r="787">
      <c r="A787" s="117"/>
      <c r="C787" s="109"/>
      <c r="D787" s="110"/>
      <c r="E787" s="112"/>
      <c r="G787" s="111"/>
      <c r="I787" s="111"/>
      <c r="J787" s="111"/>
      <c r="K787" s="114"/>
      <c r="L787" s="111"/>
    </row>
    <row r="788">
      <c r="A788" s="117"/>
      <c r="C788" s="109"/>
      <c r="D788" s="110"/>
      <c r="E788" s="112"/>
      <c r="G788" s="111"/>
      <c r="I788" s="111"/>
      <c r="J788" s="111"/>
      <c r="K788" s="114"/>
      <c r="L788" s="111"/>
    </row>
    <row r="789">
      <c r="A789" s="117"/>
      <c r="C789" s="109"/>
      <c r="D789" s="110"/>
      <c r="E789" s="112"/>
      <c r="G789" s="111"/>
      <c r="I789" s="111"/>
      <c r="J789" s="111"/>
      <c r="K789" s="114"/>
      <c r="L789" s="111"/>
    </row>
    <row r="790">
      <c r="A790" s="117"/>
      <c r="C790" s="109"/>
      <c r="D790" s="110"/>
      <c r="E790" s="112"/>
      <c r="G790" s="111"/>
      <c r="I790" s="111"/>
      <c r="J790" s="111"/>
      <c r="K790" s="114"/>
      <c r="L790" s="111"/>
    </row>
    <row r="791">
      <c r="A791" s="117"/>
      <c r="C791" s="109"/>
      <c r="D791" s="110"/>
      <c r="E791" s="112"/>
      <c r="G791" s="111"/>
      <c r="I791" s="111"/>
      <c r="J791" s="111"/>
      <c r="K791" s="114"/>
      <c r="L791" s="111"/>
    </row>
    <row r="792">
      <c r="A792" s="117"/>
      <c r="C792" s="109"/>
      <c r="D792" s="110"/>
      <c r="E792" s="112"/>
      <c r="G792" s="111"/>
      <c r="I792" s="111"/>
      <c r="J792" s="111"/>
      <c r="K792" s="114"/>
      <c r="L792" s="111"/>
    </row>
    <row r="793">
      <c r="A793" s="117"/>
      <c r="C793" s="109"/>
      <c r="D793" s="110"/>
      <c r="E793" s="112"/>
      <c r="G793" s="111"/>
      <c r="I793" s="111"/>
      <c r="J793" s="111"/>
      <c r="K793" s="114"/>
      <c r="L793" s="111"/>
    </row>
    <row r="794">
      <c r="A794" s="117"/>
      <c r="C794" s="109"/>
      <c r="D794" s="110"/>
      <c r="E794" s="112"/>
      <c r="G794" s="111"/>
      <c r="I794" s="111"/>
      <c r="J794" s="111"/>
      <c r="K794" s="114"/>
      <c r="L794" s="111"/>
    </row>
    <row r="795">
      <c r="A795" s="117"/>
      <c r="C795" s="109"/>
      <c r="D795" s="110"/>
      <c r="E795" s="112"/>
      <c r="G795" s="111"/>
      <c r="I795" s="111"/>
      <c r="J795" s="111"/>
      <c r="K795" s="114"/>
      <c r="L795" s="111"/>
    </row>
    <row r="796">
      <c r="A796" s="117"/>
      <c r="C796" s="109"/>
      <c r="D796" s="110"/>
      <c r="E796" s="112"/>
      <c r="G796" s="111"/>
      <c r="I796" s="111"/>
      <c r="J796" s="111"/>
      <c r="K796" s="114"/>
      <c r="L796" s="111"/>
    </row>
    <row r="797">
      <c r="A797" s="117"/>
      <c r="C797" s="109"/>
      <c r="D797" s="110"/>
      <c r="E797" s="112"/>
      <c r="G797" s="111"/>
      <c r="I797" s="111"/>
      <c r="J797" s="111"/>
      <c r="K797" s="114"/>
      <c r="L797" s="111"/>
    </row>
    <row r="798">
      <c r="A798" s="117"/>
      <c r="C798" s="109"/>
      <c r="D798" s="110"/>
      <c r="E798" s="112"/>
      <c r="G798" s="111"/>
      <c r="I798" s="111"/>
      <c r="J798" s="111"/>
      <c r="K798" s="114"/>
      <c r="L798" s="111"/>
    </row>
    <row r="799">
      <c r="A799" s="117"/>
      <c r="C799" s="109"/>
      <c r="D799" s="110"/>
      <c r="E799" s="112"/>
      <c r="G799" s="111"/>
      <c r="I799" s="111"/>
      <c r="J799" s="111"/>
      <c r="K799" s="114"/>
      <c r="L799" s="111"/>
    </row>
    <row r="800">
      <c r="A800" s="117"/>
      <c r="C800" s="109"/>
      <c r="D800" s="110"/>
      <c r="E800" s="112"/>
      <c r="G800" s="111"/>
      <c r="I800" s="111"/>
      <c r="J800" s="111"/>
      <c r="K800" s="114"/>
      <c r="L800" s="111"/>
    </row>
    <row r="801">
      <c r="A801" s="117"/>
      <c r="C801" s="109"/>
      <c r="D801" s="110"/>
      <c r="E801" s="112"/>
      <c r="G801" s="111"/>
      <c r="I801" s="111"/>
      <c r="J801" s="111"/>
      <c r="K801" s="114"/>
      <c r="L801" s="111"/>
    </row>
    <row r="802">
      <c r="A802" s="117"/>
      <c r="C802" s="109"/>
      <c r="D802" s="110"/>
      <c r="E802" s="112"/>
      <c r="G802" s="111"/>
      <c r="I802" s="111"/>
      <c r="J802" s="111"/>
      <c r="K802" s="114"/>
      <c r="L802" s="111"/>
    </row>
    <row r="803">
      <c r="A803" s="117"/>
      <c r="C803" s="109"/>
      <c r="D803" s="110"/>
      <c r="E803" s="112"/>
      <c r="G803" s="111"/>
      <c r="I803" s="111"/>
      <c r="J803" s="111"/>
      <c r="K803" s="114"/>
      <c r="L803" s="111"/>
    </row>
    <row r="804">
      <c r="A804" s="117"/>
      <c r="C804" s="109"/>
      <c r="D804" s="110"/>
      <c r="E804" s="112"/>
      <c r="G804" s="111"/>
      <c r="I804" s="111"/>
      <c r="J804" s="111"/>
      <c r="K804" s="114"/>
      <c r="L804" s="111"/>
    </row>
    <row r="805">
      <c r="A805" s="117"/>
      <c r="C805" s="109"/>
      <c r="D805" s="110"/>
      <c r="E805" s="112"/>
      <c r="G805" s="111"/>
      <c r="I805" s="111"/>
      <c r="J805" s="111"/>
      <c r="K805" s="114"/>
      <c r="L805" s="111"/>
    </row>
    <row r="806">
      <c r="A806" s="117"/>
      <c r="C806" s="109"/>
      <c r="D806" s="110"/>
      <c r="E806" s="112"/>
      <c r="G806" s="111"/>
      <c r="I806" s="111"/>
      <c r="J806" s="111"/>
      <c r="K806" s="114"/>
      <c r="L806" s="111"/>
    </row>
    <row r="807">
      <c r="A807" s="117"/>
      <c r="C807" s="109"/>
      <c r="D807" s="110"/>
      <c r="E807" s="112"/>
      <c r="G807" s="111"/>
      <c r="I807" s="111"/>
      <c r="J807" s="111"/>
      <c r="K807" s="114"/>
      <c r="L807" s="111"/>
    </row>
    <row r="808">
      <c r="A808" s="117"/>
      <c r="C808" s="109"/>
      <c r="D808" s="110"/>
      <c r="E808" s="112"/>
      <c r="G808" s="111"/>
      <c r="I808" s="111"/>
      <c r="J808" s="111"/>
      <c r="K808" s="114"/>
      <c r="L808" s="111"/>
    </row>
    <row r="809">
      <c r="A809" s="117"/>
      <c r="C809" s="109"/>
      <c r="D809" s="110"/>
      <c r="E809" s="112"/>
      <c r="G809" s="111"/>
      <c r="I809" s="111"/>
      <c r="J809" s="111"/>
      <c r="K809" s="114"/>
      <c r="L809" s="111"/>
    </row>
    <row r="810">
      <c r="A810" s="117"/>
      <c r="C810" s="109"/>
      <c r="D810" s="110"/>
      <c r="E810" s="112"/>
      <c r="G810" s="111"/>
      <c r="I810" s="111"/>
      <c r="J810" s="111"/>
      <c r="K810" s="114"/>
      <c r="L810" s="111"/>
    </row>
    <row r="811">
      <c r="A811" s="117"/>
      <c r="C811" s="109"/>
      <c r="D811" s="110"/>
      <c r="E811" s="112"/>
      <c r="G811" s="111"/>
      <c r="I811" s="111"/>
      <c r="J811" s="111"/>
      <c r="K811" s="114"/>
      <c r="L811" s="111"/>
    </row>
    <row r="812">
      <c r="A812" s="117"/>
      <c r="C812" s="109"/>
      <c r="D812" s="110"/>
      <c r="E812" s="112"/>
      <c r="G812" s="111"/>
      <c r="I812" s="111"/>
      <c r="J812" s="111"/>
      <c r="K812" s="114"/>
      <c r="L812" s="111"/>
    </row>
    <row r="813">
      <c r="A813" s="117"/>
      <c r="C813" s="109"/>
      <c r="D813" s="110"/>
      <c r="E813" s="112"/>
      <c r="G813" s="111"/>
      <c r="I813" s="111"/>
      <c r="J813" s="111"/>
      <c r="K813" s="114"/>
      <c r="L813" s="111"/>
    </row>
    <row r="814">
      <c r="A814" s="117"/>
      <c r="C814" s="109"/>
      <c r="D814" s="110"/>
      <c r="E814" s="112"/>
      <c r="G814" s="111"/>
      <c r="I814" s="111"/>
      <c r="J814" s="111"/>
      <c r="K814" s="114"/>
      <c r="L814" s="111"/>
    </row>
    <row r="815">
      <c r="A815" s="117"/>
      <c r="C815" s="109"/>
      <c r="D815" s="110"/>
      <c r="E815" s="112"/>
      <c r="G815" s="111"/>
      <c r="I815" s="111"/>
      <c r="J815" s="111"/>
      <c r="K815" s="114"/>
      <c r="L815" s="111"/>
    </row>
    <row r="816">
      <c r="A816" s="117"/>
      <c r="C816" s="109"/>
      <c r="D816" s="110"/>
      <c r="E816" s="112"/>
      <c r="G816" s="111"/>
      <c r="I816" s="111"/>
      <c r="J816" s="111"/>
      <c r="K816" s="114"/>
      <c r="L816" s="111"/>
    </row>
    <row r="817">
      <c r="A817" s="117"/>
      <c r="C817" s="109"/>
      <c r="D817" s="110"/>
      <c r="E817" s="112"/>
      <c r="G817" s="111"/>
      <c r="I817" s="111"/>
      <c r="J817" s="111"/>
      <c r="K817" s="114"/>
      <c r="L817" s="111"/>
    </row>
    <row r="818">
      <c r="A818" s="117"/>
      <c r="C818" s="109"/>
      <c r="D818" s="110"/>
      <c r="E818" s="112"/>
      <c r="G818" s="111"/>
      <c r="I818" s="111"/>
      <c r="J818" s="111"/>
      <c r="K818" s="114"/>
      <c r="L818" s="111"/>
    </row>
    <row r="819">
      <c r="A819" s="117"/>
      <c r="C819" s="109"/>
      <c r="D819" s="110"/>
      <c r="E819" s="112"/>
      <c r="G819" s="111"/>
      <c r="I819" s="111"/>
      <c r="J819" s="111"/>
      <c r="K819" s="114"/>
      <c r="L819" s="111"/>
    </row>
    <row r="820">
      <c r="A820" s="117"/>
      <c r="C820" s="109"/>
      <c r="D820" s="110"/>
      <c r="E820" s="112"/>
      <c r="G820" s="111"/>
      <c r="I820" s="111"/>
      <c r="J820" s="111"/>
      <c r="K820" s="114"/>
      <c r="L820" s="111"/>
    </row>
    <row r="821">
      <c r="A821" s="117"/>
      <c r="C821" s="109"/>
      <c r="D821" s="110"/>
      <c r="E821" s="112"/>
      <c r="G821" s="111"/>
      <c r="I821" s="111"/>
      <c r="J821" s="111"/>
      <c r="K821" s="114"/>
      <c r="L821" s="111"/>
    </row>
    <row r="822">
      <c r="A822" s="117"/>
      <c r="C822" s="109"/>
      <c r="D822" s="110"/>
      <c r="E822" s="112"/>
      <c r="G822" s="111"/>
      <c r="I822" s="111"/>
      <c r="J822" s="111"/>
      <c r="K822" s="114"/>
      <c r="L822" s="111"/>
    </row>
    <row r="823">
      <c r="A823" s="117"/>
      <c r="C823" s="109"/>
      <c r="D823" s="110"/>
      <c r="E823" s="112"/>
      <c r="G823" s="111"/>
      <c r="I823" s="111"/>
      <c r="J823" s="111"/>
      <c r="K823" s="114"/>
      <c r="L823" s="111"/>
    </row>
    <row r="824">
      <c r="A824" s="117"/>
      <c r="C824" s="109"/>
      <c r="D824" s="110"/>
      <c r="E824" s="112"/>
      <c r="G824" s="111"/>
      <c r="I824" s="111"/>
      <c r="J824" s="111"/>
      <c r="K824" s="114"/>
      <c r="L824" s="111"/>
    </row>
    <row r="825">
      <c r="A825" s="117"/>
      <c r="C825" s="109"/>
      <c r="D825" s="110"/>
      <c r="E825" s="112"/>
      <c r="G825" s="111"/>
      <c r="I825" s="111"/>
      <c r="J825" s="111"/>
      <c r="K825" s="114"/>
      <c r="L825" s="111"/>
    </row>
    <row r="826">
      <c r="A826" s="117"/>
      <c r="C826" s="109"/>
      <c r="D826" s="110"/>
      <c r="E826" s="112"/>
      <c r="G826" s="111"/>
      <c r="I826" s="111"/>
      <c r="J826" s="111"/>
      <c r="K826" s="114"/>
      <c r="L826" s="111"/>
    </row>
    <row r="827">
      <c r="A827" s="117"/>
      <c r="C827" s="109"/>
      <c r="D827" s="110"/>
      <c r="E827" s="112"/>
      <c r="G827" s="111"/>
      <c r="I827" s="111"/>
      <c r="J827" s="111"/>
      <c r="K827" s="114"/>
      <c r="L827" s="111"/>
    </row>
    <row r="828">
      <c r="A828" s="117"/>
      <c r="C828" s="109"/>
      <c r="D828" s="110"/>
      <c r="E828" s="112"/>
      <c r="G828" s="111"/>
      <c r="I828" s="111"/>
      <c r="J828" s="111"/>
      <c r="K828" s="114"/>
      <c r="L828" s="111"/>
    </row>
    <row r="829">
      <c r="A829" s="117"/>
      <c r="C829" s="109"/>
      <c r="D829" s="110"/>
      <c r="E829" s="112"/>
      <c r="G829" s="111"/>
      <c r="I829" s="111"/>
      <c r="J829" s="111"/>
      <c r="K829" s="114"/>
      <c r="L829" s="111"/>
    </row>
    <row r="830">
      <c r="A830" s="117"/>
      <c r="C830" s="109"/>
      <c r="D830" s="110"/>
      <c r="E830" s="112"/>
      <c r="G830" s="111"/>
      <c r="I830" s="111"/>
      <c r="J830" s="111"/>
      <c r="K830" s="114"/>
      <c r="L830" s="111"/>
    </row>
    <row r="831">
      <c r="A831" s="117"/>
      <c r="C831" s="109"/>
      <c r="D831" s="110"/>
      <c r="E831" s="112"/>
      <c r="G831" s="111"/>
      <c r="I831" s="111"/>
      <c r="J831" s="111"/>
      <c r="K831" s="114"/>
      <c r="L831" s="111"/>
    </row>
    <row r="832">
      <c r="A832" s="117"/>
      <c r="C832" s="109"/>
      <c r="D832" s="110"/>
      <c r="E832" s="112"/>
      <c r="G832" s="111"/>
      <c r="I832" s="111"/>
      <c r="J832" s="111"/>
      <c r="K832" s="114"/>
      <c r="L832" s="111"/>
    </row>
    <row r="833">
      <c r="A833" s="117"/>
      <c r="C833" s="109"/>
      <c r="D833" s="110"/>
      <c r="E833" s="112"/>
      <c r="G833" s="111"/>
      <c r="I833" s="111"/>
      <c r="J833" s="111"/>
      <c r="K833" s="114"/>
      <c r="L833" s="111"/>
    </row>
    <row r="834">
      <c r="A834" s="117"/>
      <c r="C834" s="109"/>
      <c r="D834" s="110"/>
      <c r="E834" s="112"/>
      <c r="G834" s="111"/>
      <c r="I834" s="111"/>
      <c r="J834" s="111"/>
      <c r="K834" s="114"/>
      <c r="L834" s="111"/>
    </row>
    <row r="835">
      <c r="A835" s="117"/>
      <c r="C835" s="109"/>
      <c r="D835" s="110"/>
      <c r="E835" s="112"/>
      <c r="G835" s="111"/>
      <c r="I835" s="111"/>
      <c r="J835" s="111"/>
      <c r="K835" s="114"/>
      <c r="L835" s="111"/>
    </row>
    <row r="836">
      <c r="A836" s="117"/>
      <c r="C836" s="109"/>
      <c r="D836" s="110"/>
      <c r="E836" s="112"/>
      <c r="G836" s="111"/>
      <c r="I836" s="111"/>
      <c r="J836" s="111"/>
      <c r="K836" s="114"/>
      <c r="L836" s="111"/>
    </row>
    <row r="837">
      <c r="A837" s="117"/>
      <c r="C837" s="109"/>
      <c r="D837" s="110"/>
      <c r="E837" s="112"/>
      <c r="G837" s="111"/>
      <c r="I837" s="111"/>
      <c r="J837" s="111"/>
      <c r="K837" s="114"/>
      <c r="L837" s="111"/>
    </row>
    <row r="838">
      <c r="A838" s="117"/>
      <c r="C838" s="109"/>
      <c r="D838" s="110"/>
      <c r="E838" s="112"/>
      <c r="G838" s="111"/>
      <c r="I838" s="111"/>
      <c r="J838" s="111"/>
      <c r="K838" s="114"/>
      <c r="L838" s="111"/>
    </row>
    <row r="839">
      <c r="A839" s="117"/>
      <c r="C839" s="109"/>
      <c r="D839" s="110"/>
      <c r="E839" s="112"/>
      <c r="G839" s="111"/>
      <c r="I839" s="111"/>
      <c r="J839" s="111"/>
      <c r="K839" s="114"/>
      <c r="L839" s="111"/>
    </row>
    <row r="840">
      <c r="A840" s="117"/>
      <c r="C840" s="109"/>
      <c r="D840" s="110"/>
      <c r="E840" s="112"/>
      <c r="G840" s="111"/>
      <c r="I840" s="111"/>
      <c r="J840" s="111"/>
      <c r="K840" s="114"/>
      <c r="L840" s="111"/>
    </row>
    <row r="841">
      <c r="A841" s="117"/>
      <c r="C841" s="109"/>
      <c r="D841" s="110"/>
      <c r="E841" s="112"/>
      <c r="G841" s="111"/>
      <c r="I841" s="111"/>
      <c r="J841" s="111"/>
      <c r="K841" s="114"/>
      <c r="L841" s="111"/>
    </row>
    <row r="842">
      <c r="A842" s="117"/>
      <c r="C842" s="109"/>
      <c r="D842" s="110"/>
      <c r="E842" s="112"/>
      <c r="G842" s="111"/>
      <c r="I842" s="111"/>
      <c r="J842" s="111"/>
      <c r="K842" s="114"/>
      <c r="L842" s="111"/>
    </row>
    <row r="843">
      <c r="A843" s="117"/>
      <c r="C843" s="109"/>
      <c r="D843" s="110"/>
      <c r="E843" s="112"/>
      <c r="G843" s="111"/>
      <c r="I843" s="111"/>
      <c r="J843" s="111"/>
      <c r="K843" s="114"/>
      <c r="L843" s="111"/>
    </row>
    <row r="844">
      <c r="A844" s="117"/>
      <c r="C844" s="109"/>
      <c r="D844" s="110"/>
      <c r="E844" s="112"/>
      <c r="G844" s="111"/>
      <c r="I844" s="111"/>
      <c r="J844" s="111"/>
      <c r="K844" s="114"/>
      <c r="L844" s="111"/>
    </row>
    <row r="845">
      <c r="A845" s="117"/>
      <c r="C845" s="109"/>
      <c r="D845" s="110"/>
      <c r="E845" s="112"/>
      <c r="G845" s="111"/>
      <c r="I845" s="111"/>
      <c r="J845" s="111"/>
      <c r="K845" s="114"/>
      <c r="L845" s="111"/>
    </row>
    <row r="846">
      <c r="A846" s="117"/>
      <c r="C846" s="109"/>
      <c r="D846" s="110"/>
      <c r="E846" s="112"/>
      <c r="G846" s="111"/>
      <c r="I846" s="111"/>
      <c r="J846" s="111"/>
      <c r="K846" s="114"/>
      <c r="L846" s="111"/>
    </row>
    <row r="847">
      <c r="A847" s="117"/>
      <c r="C847" s="109"/>
      <c r="D847" s="110"/>
      <c r="E847" s="112"/>
      <c r="G847" s="111"/>
      <c r="I847" s="111"/>
      <c r="J847" s="111"/>
      <c r="K847" s="114"/>
      <c r="L847" s="111"/>
    </row>
    <row r="848">
      <c r="A848" s="117"/>
      <c r="C848" s="109"/>
      <c r="D848" s="110"/>
      <c r="E848" s="112"/>
      <c r="G848" s="111"/>
      <c r="I848" s="111"/>
      <c r="J848" s="111"/>
      <c r="K848" s="114"/>
      <c r="L848" s="111"/>
    </row>
    <row r="849">
      <c r="A849" s="117"/>
      <c r="C849" s="109"/>
      <c r="D849" s="110"/>
      <c r="E849" s="112"/>
      <c r="G849" s="111"/>
      <c r="I849" s="111"/>
      <c r="J849" s="111"/>
      <c r="K849" s="114"/>
      <c r="L849" s="111"/>
    </row>
    <row r="850">
      <c r="A850" s="117"/>
      <c r="C850" s="109"/>
      <c r="D850" s="110"/>
      <c r="E850" s="112"/>
      <c r="G850" s="111"/>
      <c r="I850" s="111"/>
      <c r="J850" s="111"/>
      <c r="K850" s="114"/>
      <c r="L850" s="111"/>
    </row>
    <row r="851">
      <c r="A851" s="117"/>
      <c r="C851" s="109"/>
      <c r="D851" s="110"/>
      <c r="E851" s="112"/>
      <c r="G851" s="111"/>
      <c r="I851" s="111"/>
      <c r="J851" s="111"/>
      <c r="K851" s="114"/>
      <c r="L851" s="111"/>
    </row>
    <row r="852">
      <c r="A852" s="117"/>
      <c r="C852" s="109"/>
      <c r="D852" s="110"/>
      <c r="E852" s="112"/>
      <c r="G852" s="111"/>
      <c r="I852" s="111"/>
      <c r="J852" s="111"/>
      <c r="K852" s="114"/>
      <c r="L852" s="111"/>
    </row>
    <row r="853">
      <c r="A853" s="117"/>
      <c r="C853" s="109"/>
      <c r="D853" s="110"/>
      <c r="E853" s="112"/>
      <c r="G853" s="111"/>
      <c r="I853" s="111"/>
      <c r="J853" s="111"/>
      <c r="K853" s="114"/>
      <c r="L853" s="111"/>
    </row>
    <row r="854">
      <c r="A854" s="117"/>
      <c r="C854" s="109"/>
      <c r="D854" s="110"/>
      <c r="E854" s="112"/>
      <c r="G854" s="111"/>
      <c r="I854" s="111"/>
      <c r="J854" s="111"/>
      <c r="K854" s="114"/>
      <c r="L854" s="111"/>
    </row>
    <row r="855">
      <c r="A855" s="117"/>
      <c r="C855" s="109"/>
      <c r="D855" s="110"/>
      <c r="E855" s="112"/>
      <c r="G855" s="111"/>
      <c r="I855" s="111"/>
      <c r="J855" s="111"/>
      <c r="K855" s="114"/>
      <c r="L855" s="111"/>
    </row>
    <row r="856">
      <c r="A856" s="117"/>
      <c r="C856" s="109"/>
      <c r="D856" s="110"/>
      <c r="E856" s="112"/>
      <c r="G856" s="111"/>
      <c r="I856" s="111"/>
      <c r="J856" s="111"/>
      <c r="K856" s="114"/>
      <c r="L856" s="111"/>
    </row>
    <row r="857">
      <c r="A857" s="117"/>
      <c r="C857" s="109"/>
      <c r="D857" s="110"/>
      <c r="E857" s="112"/>
      <c r="G857" s="111"/>
      <c r="I857" s="111"/>
      <c r="J857" s="111"/>
      <c r="K857" s="114"/>
      <c r="L857" s="111"/>
    </row>
    <row r="858">
      <c r="A858" s="117"/>
      <c r="C858" s="109"/>
      <c r="D858" s="110"/>
      <c r="E858" s="112"/>
      <c r="G858" s="111"/>
      <c r="I858" s="111"/>
      <c r="J858" s="111"/>
      <c r="K858" s="114"/>
      <c r="L858" s="111"/>
    </row>
    <row r="859">
      <c r="A859" s="117"/>
      <c r="C859" s="109"/>
      <c r="D859" s="110"/>
      <c r="E859" s="112"/>
      <c r="G859" s="111"/>
      <c r="I859" s="111"/>
      <c r="J859" s="111"/>
      <c r="K859" s="114"/>
      <c r="L859" s="111"/>
    </row>
    <row r="860">
      <c r="A860" s="117"/>
      <c r="C860" s="109"/>
      <c r="D860" s="110"/>
      <c r="E860" s="112"/>
      <c r="G860" s="111"/>
      <c r="I860" s="111"/>
      <c r="J860" s="111"/>
      <c r="K860" s="114"/>
      <c r="L860" s="111"/>
    </row>
    <row r="861">
      <c r="A861" s="117"/>
      <c r="C861" s="109"/>
      <c r="D861" s="110"/>
      <c r="E861" s="112"/>
      <c r="G861" s="111"/>
      <c r="I861" s="111"/>
      <c r="J861" s="111"/>
      <c r="K861" s="114"/>
      <c r="L861" s="111"/>
    </row>
    <row r="862">
      <c r="A862" s="117"/>
      <c r="C862" s="109"/>
      <c r="D862" s="110"/>
      <c r="E862" s="112"/>
      <c r="G862" s="111"/>
      <c r="I862" s="111"/>
      <c r="J862" s="111"/>
      <c r="K862" s="114"/>
      <c r="L862" s="111"/>
    </row>
    <row r="863">
      <c r="A863" s="117"/>
      <c r="C863" s="109"/>
      <c r="D863" s="110"/>
      <c r="E863" s="112"/>
      <c r="G863" s="111"/>
      <c r="I863" s="111"/>
      <c r="J863" s="111"/>
      <c r="K863" s="114"/>
      <c r="L863" s="111"/>
    </row>
    <row r="864">
      <c r="A864" s="117"/>
      <c r="C864" s="109"/>
      <c r="D864" s="110"/>
      <c r="E864" s="112"/>
      <c r="G864" s="111"/>
      <c r="I864" s="111"/>
      <c r="J864" s="111"/>
      <c r="K864" s="114"/>
      <c r="L864" s="111"/>
    </row>
    <row r="865">
      <c r="A865" s="117"/>
      <c r="C865" s="109"/>
      <c r="D865" s="110"/>
      <c r="E865" s="112"/>
      <c r="G865" s="111"/>
      <c r="I865" s="111"/>
      <c r="J865" s="111"/>
      <c r="K865" s="114"/>
      <c r="L865" s="111"/>
    </row>
    <row r="866">
      <c r="A866" s="117"/>
      <c r="C866" s="109"/>
      <c r="D866" s="110"/>
      <c r="E866" s="112"/>
      <c r="G866" s="111"/>
      <c r="I866" s="111"/>
      <c r="J866" s="111"/>
      <c r="K866" s="114"/>
      <c r="L866" s="111"/>
    </row>
    <row r="867">
      <c r="A867" s="117"/>
      <c r="C867" s="109"/>
      <c r="D867" s="110"/>
      <c r="E867" s="112"/>
      <c r="G867" s="111"/>
      <c r="I867" s="111"/>
      <c r="J867" s="111"/>
      <c r="K867" s="114"/>
      <c r="L867" s="111"/>
    </row>
    <row r="868">
      <c r="A868" s="117"/>
      <c r="C868" s="109"/>
      <c r="D868" s="110"/>
      <c r="E868" s="112"/>
      <c r="G868" s="111"/>
      <c r="I868" s="111"/>
      <c r="J868" s="111"/>
      <c r="K868" s="114"/>
      <c r="L868" s="111"/>
    </row>
    <row r="869">
      <c r="A869" s="117"/>
      <c r="C869" s="109"/>
      <c r="D869" s="110"/>
      <c r="E869" s="112"/>
      <c r="G869" s="111"/>
      <c r="I869" s="111"/>
      <c r="J869" s="111"/>
      <c r="K869" s="114"/>
      <c r="L869" s="111"/>
    </row>
    <row r="870">
      <c r="A870" s="117"/>
      <c r="C870" s="109"/>
      <c r="D870" s="110"/>
      <c r="E870" s="112"/>
      <c r="G870" s="111"/>
      <c r="I870" s="111"/>
      <c r="J870" s="111"/>
      <c r="K870" s="114"/>
      <c r="L870" s="111"/>
    </row>
    <row r="871">
      <c r="A871" s="117"/>
      <c r="C871" s="109"/>
      <c r="D871" s="110"/>
      <c r="E871" s="112"/>
      <c r="G871" s="111"/>
      <c r="I871" s="111"/>
      <c r="J871" s="111"/>
      <c r="K871" s="114"/>
      <c r="L871" s="111"/>
    </row>
    <row r="872">
      <c r="A872" s="117"/>
      <c r="C872" s="109"/>
      <c r="D872" s="110"/>
      <c r="E872" s="112"/>
      <c r="G872" s="111"/>
      <c r="I872" s="111"/>
      <c r="J872" s="111"/>
      <c r="K872" s="114"/>
      <c r="L872" s="111"/>
    </row>
    <row r="873">
      <c r="A873" s="117"/>
      <c r="C873" s="109"/>
      <c r="D873" s="110"/>
      <c r="E873" s="112"/>
      <c r="G873" s="111"/>
      <c r="I873" s="111"/>
      <c r="J873" s="111"/>
      <c r="K873" s="114"/>
      <c r="L873" s="111"/>
    </row>
    <row r="874">
      <c r="A874" s="117"/>
      <c r="C874" s="109"/>
      <c r="D874" s="110"/>
      <c r="E874" s="112"/>
      <c r="G874" s="111"/>
      <c r="I874" s="111"/>
      <c r="J874" s="111"/>
      <c r="K874" s="114"/>
      <c r="L874" s="111"/>
    </row>
    <row r="875">
      <c r="A875" s="117"/>
      <c r="C875" s="109"/>
      <c r="D875" s="110"/>
      <c r="E875" s="112"/>
      <c r="G875" s="111"/>
      <c r="I875" s="111"/>
      <c r="J875" s="111"/>
      <c r="K875" s="114"/>
      <c r="L875" s="111"/>
    </row>
    <row r="876">
      <c r="A876" s="117"/>
      <c r="C876" s="109"/>
      <c r="D876" s="110"/>
      <c r="E876" s="112"/>
      <c r="G876" s="111"/>
      <c r="I876" s="111"/>
      <c r="J876" s="111"/>
      <c r="K876" s="114"/>
      <c r="L876" s="111"/>
    </row>
    <row r="877">
      <c r="A877" s="117"/>
      <c r="C877" s="109"/>
      <c r="D877" s="110"/>
      <c r="E877" s="112"/>
      <c r="G877" s="111"/>
      <c r="I877" s="111"/>
      <c r="J877" s="111"/>
      <c r="K877" s="114"/>
      <c r="L877" s="111"/>
    </row>
    <row r="878">
      <c r="A878" s="117"/>
      <c r="C878" s="109"/>
      <c r="D878" s="110"/>
      <c r="E878" s="112"/>
      <c r="G878" s="111"/>
      <c r="I878" s="111"/>
      <c r="J878" s="111"/>
      <c r="K878" s="114"/>
      <c r="L878" s="111"/>
    </row>
    <row r="879">
      <c r="A879" s="117"/>
      <c r="C879" s="109"/>
      <c r="D879" s="110"/>
      <c r="E879" s="112"/>
      <c r="G879" s="111"/>
      <c r="I879" s="111"/>
      <c r="J879" s="111"/>
      <c r="K879" s="114"/>
      <c r="L879" s="111"/>
    </row>
    <row r="880">
      <c r="A880" s="117"/>
      <c r="C880" s="109"/>
      <c r="D880" s="110"/>
      <c r="E880" s="112"/>
      <c r="G880" s="111"/>
      <c r="I880" s="111"/>
      <c r="J880" s="111"/>
      <c r="K880" s="114"/>
      <c r="L880" s="111"/>
    </row>
    <row r="881">
      <c r="A881" s="117"/>
      <c r="C881" s="109"/>
      <c r="D881" s="110"/>
      <c r="E881" s="112"/>
      <c r="G881" s="111"/>
      <c r="I881" s="111"/>
      <c r="J881" s="111"/>
      <c r="K881" s="114"/>
      <c r="L881" s="111"/>
    </row>
    <row r="882">
      <c r="A882" s="117"/>
      <c r="C882" s="109"/>
      <c r="D882" s="110"/>
      <c r="E882" s="112"/>
      <c r="G882" s="111"/>
      <c r="I882" s="111"/>
      <c r="J882" s="111"/>
      <c r="K882" s="114"/>
      <c r="L882" s="111"/>
    </row>
    <row r="883">
      <c r="A883" s="117"/>
      <c r="C883" s="109"/>
      <c r="D883" s="110"/>
      <c r="E883" s="112"/>
      <c r="G883" s="111"/>
      <c r="I883" s="111"/>
      <c r="J883" s="111"/>
      <c r="K883" s="114"/>
      <c r="L883" s="111"/>
    </row>
    <row r="884">
      <c r="A884" s="117"/>
      <c r="C884" s="109"/>
      <c r="D884" s="110"/>
      <c r="E884" s="112"/>
      <c r="G884" s="111"/>
      <c r="I884" s="111"/>
      <c r="J884" s="111"/>
      <c r="K884" s="114"/>
      <c r="L884" s="111"/>
    </row>
    <row r="885">
      <c r="A885" s="117"/>
      <c r="C885" s="109"/>
      <c r="D885" s="110"/>
      <c r="E885" s="112"/>
      <c r="G885" s="111"/>
      <c r="I885" s="111"/>
      <c r="J885" s="111"/>
      <c r="K885" s="114"/>
      <c r="L885" s="111"/>
    </row>
    <row r="886">
      <c r="A886" s="117"/>
      <c r="C886" s="109"/>
      <c r="D886" s="110"/>
      <c r="E886" s="112"/>
      <c r="G886" s="111"/>
      <c r="I886" s="111"/>
      <c r="J886" s="111"/>
      <c r="K886" s="114"/>
      <c r="L886" s="111"/>
    </row>
    <row r="887">
      <c r="A887" s="117"/>
      <c r="C887" s="109"/>
      <c r="D887" s="110"/>
      <c r="E887" s="112"/>
      <c r="G887" s="111"/>
      <c r="I887" s="111"/>
      <c r="J887" s="111"/>
      <c r="K887" s="114"/>
      <c r="L887" s="111"/>
    </row>
    <row r="888">
      <c r="A888" s="117"/>
      <c r="C888" s="109"/>
      <c r="D888" s="110"/>
      <c r="E888" s="112"/>
      <c r="G888" s="111"/>
      <c r="I888" s="111"/>
      <c r="J888" s="111"/>
      <c r="K888" s="114"/>
      <c r="L888" s="111"/>
    </row>
    <row r="889">
      <c r="A889" s="117"/>
      <c r="C889" s="109"/>
      <c r="D889" s="110"/>
      <c r="E889" s="112"/>
      <c r="G889" s="111"/>
      <c r="I889" s="111"/>
      <c r="J889" s="111"/>
      <c r="K889" s="114"/>
      <c r="L889" s="111"/>
    </row>
    <row r="890">
      <c r="A890" s="117"/>
      <c r="C890" s="109"/>
      <c r="D890" s="110"/>
      <c r="E890" s="112"/>
      <c r="G890" s="111"/>
      <c r="I890" s="111"/>
      <c r="J890" s="111"/>
      <c r="K890" s="114"/>
      <c r="L890" s="111"/>
    </row>
    <row r="891">
      <c r="A891" s="117"/>
      <c r="C891" s="109"/>
      <c r="D891" s="110"/>
      <c r="E891" s="112"/>
      <c r="G891" s="111"/>
      <c r="I891" s="111"/>
      <c r="J891" s="111"/>
      <c r="K891" s="114"/>
      <c r="L891" s="111"/>
    </row>
    <row r="892">
      <c r="A892" s="117"/>
      <c r="C892" s="109"/>
      <c r="D892" s="110"/>
      <c r="E892" s="112"/>
      <c r="G892" s="111"/>
      <c r="I892" s="111"/>
      <c r="J892" s="111"/>
      <c r="K892" s="114"/>
      <c r="L892" s="111"/>
    </row>
    <row r="893">
      <c r="A893" s="117"/>
      <c r="C893" s="109"/>
      <c r="D893" s="110"/>
      <c r="E893" s="112"/>
      <c r="G893" s="111"/>
      <c r="I893" s="111"/>
      <c r="J893" s="111"/>
      <c r="K893" s="114"/>
      <c r="L893" s="111"/>
    </row>
    <row r="894">
      <c r="A894" s="117"/>
      <c r="C894" s="109"/>
      <c r="D894" s="110"/>
      <c r="E894" s="112"/>
      <c r="G894" s="111"/>
      <c r="I894" s="111"/>
      <c r="J894" s="111"/>
      <c r="K894" s="114"/>
      <c r="L894" s="111"/>
    </row>
    <row r="895">
      <c r="A895" s="117"/>
      <c r="C895" s="109"/>
      <c r="D895" s="110"/>
      <c r="E895" s="112"/>
      <c r="G895" s="111"/>
      <c r="I895" s="111"/>
      <c r="J895" s="111"/>
      <c r="K895" s="114"/>
      <c r="L895" s="111"/>
    </row>
    <row r="896">
      <c r="A896" s="117"/>
      <c r="C896" s="109"/>
      <c r="D896" s="110"/>
      <c r="E896" s="112"/>
      <c r="G896" s="111"/>
      <c r="I896" s="111"/>
      <c r="J896" s="111"/>
      <c r="K896" s="114"/>
      <c r="L896" s="111"/>
    </row>
    <row r="897">
      <c r="A897" s="117"/>
      <c r="C897" s="109"/>
      <c r="D897" s="110"/>
      <c r="E897" s="112"/>
      <c r="G897" s="111"/>
      <c r="I897" s="111"/>
      <c r="J897" s="111"/>
      <c r="K897" s="114"/>
      <c r="L897" s="111"/>
    </row>
    <row r="898">
      <c r="A898" s="117"/>
      <c r="C898" s="109"/>
      <c r="D898" s="110"/>
      <c r="E898" s="112"/>
      <c r="G898" s="111"/>
      <c r="I898" s="111"/>
      <c r="J898" s="111"/>
      <c r="K898" s="114"/>
      <c r="L898" s="111"/>
    </row>
    <row r="899">
      <c r="A899" s="117"/>
      <c r="C899" s="109"/>
      <c r="D899" s="110"/>
      <c r="E899" s="112"/>
      <c r="G899" s="111"/>
      <c r="I899" s="111"/>
      <c r="J899" s="111"/>
      <c r="K899" s="114"/>
      <c r="L899" s="111"/>
    </row>
    <row r="900">
      <c r="A900" s="117"/>
      <c r="C900" s="109"/>
      <c r="D900" s="110"/>
      <c r="E900" s="112"/>
      <c r="G900" s="111"/>
      <c r="I900" s="111"/>
      <c r="J900" s="111"/>
      <c r="K900" s="114"/>
      <c r="L900" s="111"/>
    </row>
    <row r="901">
      <c r="A901" s="117"/>
      <c r="C901" s="109"/>
      <c r="D901" s="110"/>
      <c r="E901" s="112"/>
      <c r="G901" s="111"/>
      <c r="I901" s="111"/>
      <c r="J901" s="111"/>
      <c r="K901" s="114"/>
      <c r="L901" s="111"/>
    </row>
    <row r="902">
      <c r="A902" s="117"/>
      <c r="C902" s="109"/>
      <c r="D902" s="110"/>
      <c r="E902" s="112"/>
      <c r="G902" s="111"/>
      <c r="I902" s="111"/>
      <c r="J902" s="111"/>
      <c r="K902" s="114"/>
      <c r="L902" s="111"/>
    </row>
    <row r="903">
      <c r="A903" s="117"/>
      <c r="C903" s="109"/>
      <c r="D903" s="110"/>
      <c r="E903" s="112"/>
      <c r="G903" s="111"/>
      <c r="I903" s="111"/>
      <c r="J903" s="111"/>
      <c r="K903" s="114"/>
      <c r="L903" s="111"/>
    </row>
    <row r="904">
      <c r="A904" s="117"/>
      <c r="C904" s="109"/>
      <c r="D904" s="110"/>
      <c r="E904" s="112"/>
      <c r="G904" s="111"/>
      <c r="I904" s="111"/>
      <c r="J904" s="111"/>
      <c r="K904" s="114"/>
      <c r="L904" s="111"/>
    </row>
    <row r="905">
      <c r="A905" s="117"/>
      <c r="C905" s="109"/>
      <c r="D905" s="110"/>
      <c r="E905" s="112"/>
      <c r="G905" s="111"/>
      <c r="I905" s="111"/>
      <c r="J905" s="111"/>
      <c r="K905" s="114"/>
      <c r="L905" s="111"/>
    </row>
    <row r="906">
      <c r="A906" s="117"/>
      <c r="C906" s="109"/>
      <c r="D906" s="110"/>
      <c r="E906" s="112"/>
      <c r="G906" s="111"/>
      <c r="I906" s="111"/>
      <c r="J906" s="111"/>
      <c r="K906" s="114"/>
      <c r="L906" s="111"/>
    </row>
    <row r="907">
      <c r="A907" s="117"/>
      <c r="C907" s="109"/>
      <c r="D907" s="110"/>
      <c r="E907" s="112"/>
      <c r="G907" s="111"/>
      <c r="I907" s="111"/>
      <c r="J907" s="111"/>
      <c r="K907" s="114"/>
      <c r="L907" s="111"/>
    </row>
    <row r="908">
      <c r="A908" s="117"/>
      <c r="C908" s="109"/>
      <c r="D908" s="110"/>
      <c r="E908" s="112"/>
      <c r="G908" s="111"/>
      <c r="I908" s="111"/>
      <c r="J908" s="111"/>
      <c r="K908" s="114"/>
      <c r="L908" s="111"/>
    </row>
    <row r="909">
      <c r="A909" s="117"/>
      <c r="C909" s="109"/>
      <c r="D909" s="110"/>
      <c r="E909" s="112"/>
      <c r="G909" s="111"/>
      <c r="I909" s="111"/>
      <c r="J909" s="111"/>
      <c r="K909" s="114"/>
      <c r="L909" s="111"/>
    </row>
    <row r="910">
      <c r="A910" s="117"/>
      <c r="C910" s="109"/>
      <c r="D910" s="110"/>
      <c r="E910" s="112"/>
      <c r="G910" s="111"/>
      <c r="I910" s="111"/>
      <c r="J910" s="111"/>
      <c r="K910" s="114"/>
      <c r="L910" s="111"/>
    </row>
    <row r="911">
      <c r="A911" s="117"/>
      <c r="C911" s="109"/>
      <c r="D911" s="110"/>
      <c r="E911" s="112"/>
      <c r="G911" s="111"/>
      <c r="I911" s="111"/>
      <c r="J911" s="111"/>
      <c r="K911" s="114"/>
      <c r="L911" s="111"/>
    </row>
    <row r="912">
      <c r="A912" s="117"/>
      <c r="C912" s="109"/>
      <c r="D912" s="110"/>
      <c r="E912" s="112"/>
      <c r="G912" s="111"/>
      <c r="I912" s="111"/>
      <c r="J912" s="111"/>
      <c r="K912" s="114"/>
      <c r="L912" s="111"/>
    </row>
    <row r="913">
      <c r="A913" s="117"/>
      <c r="C913" s="109"/>
      <c r="D913" s="110"/>
      <c r="E913" s="112"/>
      <c r="G913" s="111"/>
      <c r="I913" s="111"/>
      <c r="J913" s="111"/>
      <c r="K913" s="114"/>
      <c r="L913" s="111"/>
    </row>
    <row r="914">
      <c r="A914" s="117"/>
      <c r="C914" s="109"/>
      <c r="D914" s="110"/>
      <c r="E914" s="112"/>
      <c r="G914" s="111"/>
      <c r="I914" s="111"/>
      <c r="J914" s="111"/>
      <c r="K914" s="114"/>
      <c r="L914" s="111"/>
    </row>
    <row r="915">
      <c r="A915" s="117"/>
      <c r="C915" s="109"/>
      <c r="D915" s="110"/>
      <c r="E915" s="112"/>
      <c r="G915" s="111"/>
      <c r="I915" s="111"/>
      <c r="J915" s="111"/>
      <c r="K915" s="114"/>
      <c r="L915" s="111"/>
    </row>
    <row r="916">
      <c r="A916" s="117"/>
      <c r="C916" s="109"/>
      <c r="D916" s="110"/>
      <c r="E916" s="112"/>
      <c r="G916" s="111"/>
      <c r="I916" s="111"/>
      <c r="J916" s="111"/>
      <c r="K916" s="114"/>
      <c r="L916" s="111"/>
    </row>
    <row r="917">
      <c r="A917" s="117"/>
      <c r="C917" s="109"/>
      <c r="D917" s="110"/>
      <c r="E917" s="112"/>
      <c r="G917" s="111"/>
      <c r="I917" s="111"/>
      <c r="J917" s="111"/>
      <c r="K917" s="114"/>
      <c r="L917" s="111"/>
    </row>
    <row r="918">
      <c r="A918" s="117"/>
      <c r="C918" s="109"/>
      <c r="D918" s="110"/>
      <c r="E918" s="112"/>
      <c r="G918" s="111"/>
      <c r="I918" s="111"/>
      <c r="J918" s="111"/>
      <c r="K918" s="114"/>
      <c r="L918" s="111"/>
    </row>
    <row r="919">
      <c r="A919" s="117"/>
      <c r="C919" s="109"/>
      <c r="D919" s="110"/>
      <c r="E919" s="112"/>
      <c r="G919" s="111"/>
      <c r="I919" s="111"/>
      <c r="J919" s="111"/>
      <c r="K919" s="114"/>
      <c r="L919" s="111"/>
    </row>
    <row r="920">
      <c r="A920" s="117"/>
      <c r="C920" s="109"/>
      <c r="D920" s="110"/>
      <c r="E920" s="112"/>
      <c r="G920" s="111"/>
      <c r="I920" s="111"/>
      <c r="J920" s="111"/>
      <c r="K920" s="114"/>
      <c r="L920" s="111"/>
    </row>
    <row r="921">
      <c r="A921" s="117"/>
      <c r="C921" s="109"/>
      <c r="D921" s="110"/>
      <c r="E921" s="112"/>
      <c r="G921" s="111"/>
      <c r="I921" s="111"/>
      <c r="J921" s="111"/>
      <c r="K921" s="114"/>
      <c r="L921" s="111"/>
    </row>
    <row r="922">
      <c r="A922" s="117"/>
      <c r="C922" s="109"/>
      <c r="D922" s="110"/>
      <c r="E922" s="112"/>
      <c r="G922" s="111"/>
      <c r="I922" s="111"/>
      <c r="J922" s="111"/>
      <c r="K922" s="114"/>
      <c r="L922" s="111"/>
    </row>
    <row r="923">
      <c r="A923" s="117"/>
      <c r="C923" s="109"/>
      <c r="D923" s="110"/>
      <c r="E923" s="112"/>
      <c r="G923" s="111"/>
      <c r="I923" s="111"/>
      <c r="J923" s="111"/>
      <c r="K923" s="114"/>
      <c r="L923" s="111"/>
    </row>
    <row r="924">
      <c r="A924" s="117"/>
      <c r="C924" s="109"/>
      <c r="D924" s="110"/>
      <c r="E924" s="112"/>
      <c r="G924" s="111"/>
      <c r="I924" s="111"/>
      <c r="J924" s="111"/>
      <c r="K924" s="114"/>
      <c r="L924" s="111"/>
    </row>
    <row r="925">
      <c r="A925" s="117"/>
      <c r="C925" s="109"/>
      <c r="D925" s="110"/>
      <c r="E925" s="112"/>
      <c r="G925" s="111"/>
      <c r="I925" s="111"/>
      <c r="J925" s="111"/>
      <c r="K925" s="114"/>
      <c r="L925" s="111"/>
    </row>
    <row r="926">
      <c r="A926" s="117"/>
      <c r="C926" s="109"/>
      <c r="D926" s="110"/>
      <c r="E926" s="112"/>
      <c r="G926" s="111"/>
      <c r="I926" s="111"/>
      <c r="J926" s="111"/>
      <c r="K926" s="114"/>
      <c r="L926" s="111"/>
    </row>
    <row r="927">
      <c r="A927" s="117"/>
      <c r="C927" s="109"/>
      <c r="D927" s="110"/>
      <c r="E927" s="112"/>
      <c r="G927" s="111"/>
      <c r="I927" s="111"/>
      <c r="J927" s="111"/>
      <c r="K927" s="114"/>
      <c r="L927" s="111"/>
    </row>
    <row r="928">
      <c r="A928" s="117"/>
      <c r="C928" s="109"/>
      <c r="D928" s="110"/>
      <c r="E928" s="112"/>
      <c r="G928" s="111"/>
      <c r="I928" s="111"/>
      <c r="J928" s="111"/>
      <c r="K928" s="114"/>
      <c r="L928" s="111"/>
    </row>
    <row r="929">
      <c r="A929" s="117"/>
      <c r="C929" s="109"/>
      <c r="D929" s="110"/>
      <c r="E929" s="112"/>
      <c r="G929" s="111"/>
      <c r="I929" s="111"/>
      <c r="J929" s="111"/>
      <c r="K929" s="114"/>
      <c r="L929" s="111"/>
    </row>
    <row r="930">
      <c r="A930" s="117"/>
      <c r="C930" s="109"/>
      <c r="D930" s="110"/>
      <c r="E930" s="112"/>
      <c r="G930" s="111"/>
      <c r="I930" s="111"/>
      <c r="J930" s="111"/>
      <c r="K930" s="114"/>
      <c r="L930" s="111"/>
    </row>
    <row r="931">
      <c r="A931" s="117"/>
      <c r="C931" s="109"/>
      <c r="D931" s="110"/>
      <c r="E931" s="112"/>
      <c r="G931" s="111"/>
      <c r="I931" s="111"/>
      <c r="J931" s="111"/>
      <c r="K931" s="114"/>
      <c r="L931" s="111"/>
    </row>
    <row r="932">
      <c r="A932" s="117"/>
      <c r="C932" s="109"/>
      <c r="D932" s="110"/>
      <c r="E932" s="112"/>
      <c r="G932" s="111"/>
      <c r="I932" s="111"/>
      <c r="J932" s="111"/>
      <c r="K932" s="114"/>
      <c r="L932" s="111"/>
    </row>
    <row r="933">
      <c r="A933" s="117"/>
      <c r="C933" s="109"/>
      <c r="D933" s="110"/>
      <c r="E933" s="112"/>
      <c r="G933" s="111"/>
      <c r="I933" s="111"/>
      <c r="J933" s="111"/>
      <c r="K933" s="114"/>
      <c r="L933" s="111"/>
    </row>
    <row r="934">
      <c r="A934" s="117"/>
      <c r="C934" s="109"/>
      <c r="D934" s="110"/>
      <c r="E934" s="112"/>
      <c r="G934" s="111"/>
      <c r="I934" s="111"/>
      <c r="J934" s="111"/>
      <c r="K934" s="114"/>
      <c r="L934" s="111"/>
    </row>
    <row r="935">
      <c r="A935" s="117"/>
      <c r="C935" s="109"/>
      <c r="D935" s="110"/>
      <c r="E935" s="112"/>
      <c r="G935" s="111"/>
      <c r="I935" s="111"/>
      <c r="J935" s="111"/>
      <c r="K935" s="114"/>
      <c r="L935" s="111"/>
    </row>
    <row r="936">
      <c r="A936" s="117"/>
      <c r="C936" s="109"/>
      <c r="D936" s="110"/>
      <c r="E936" s="112"/>
      <c r="G936" s="111"/>
      <c r="I936" s="111"/>
      <c r="J936" s="111"/>
      <c r="K936" s="114"/>
      <c r="L936" s="111"/>
    </row>
    <row r="937">
      <c r="A937" s="117"/>
      <c r="C937" s="109"/>
      <c r="D937" s="110"/>
      <c r="E937" s="112"/>
      <c r="G937" s="111"/>
      <c r="I937" s="111"/>
      <c r="J937" s="111"/>
      <c r="K937" s="114"/>
      <c r="L937" s="111"/>
    </row>
    <row r="938">
      <c r="A938" s="117"/>
      <c r="C938" s="109"/>
      <c r="D938" s="110"/>
      <c r="E938" s="112"/>
      <c r="G938" s="111"/>
      <c r="I938" s="111"/>
      <c r="J938" s="111"/>
      <c r="K938" s="114"/>
      <c r="L938" s="111"/>
    </row>
    <row r="939">
      <c r="A939" s="117"/>
      <c r="C939" s="109"/>
      <c r="D939" s="110"/>
      <c r="E939" s="112"/>
      <c r="G939" s="111"/>
      <c r="I939" s="111"/>
      <c r="J939" s="111"/>
      <c r="K939" s="114"/>
      <c r="L939" s="111"/>
    </row>
    <row r="940">
      <c r="A940" s="117"/>
      <c r="C940" s="109"/>
      <c r="D940" s="110"/>
      <c r="E940" s="112"/>
      <c r="G940" s="111"/>
      <c r="I940" s="111"/>
      <c r="J940" s="111"/>
      <c r="K940" s="114"/>
      <c r="L940" s="111"/>
    </row>
    <row r="941">
      <c r="A941" s="117"/>
      <c r="C941" s="109"/>
      <c r="D941" s="110"/>
      <c r="E941" s="112"/>
      <c r="G941" s="111"/>
      <c r="I941" s="111"/>
      <c r="J941" s="111"/>
      <c r="K941" s="114"/>
      <c r="L941" s="111"/>
    </row>
    <row r="942">
      <c r="A942" s="117"/>
      <c r="C942" s="109"/>
      <c r="D942" s="110"/>
      <c r="E942" s="112"/>
      <c r="G942" s="111"/>
      <c r="I942" s="111"/>
      <c r="J942" s="111"/>
      <c r="K942" s="114"/>
      <c r="L942" s="111"/>
    </row>
    <row r="943">
      <c r="A943" s="117"/>
      <c r="C943" s="109"/>
      <c r="D943" s="110"/>
      <c r="E943" s="112"/>
      <c r="G943" s="111"/>
      <c r="I943" s="111"/>
      <c r="J943" s="111"/>
      <c r="K943" s="114"/>
      <c r="L943" s="111"/>
    </row>
    <row r="944">
      <c r="A944" s="117"/>
      <c r="C944" s="109"/>
      <c r="D944" s="110"/>
      <c r="E944" s="112"/>
      <c r="G944" s="111"/>
      <c r="I944" s="111"/>
      <c r="J944" s="111"/>
      <c r="K944" s="114"/>
      <c r="L944" s="111"/>
    </row>
    <row r="945">
      <c r="A945" s="117"/>
      <c r="C945" s="109"/>
      <c r="D945" s="110"/>
      <c r="E945" s="112"/>
      <c r="G945" s="111"/>
      <c r="I945" s="111"/>
      <c r="J945" s="111"/>
      <c r="K945" s="114"/>
      <c r="L945" s="111"/>
    </row>
    <row r="946">
      <c r="A946" s="117"/>
      <c r="C946" s="109"/>
      <c r="D946" s="110"/>
      <c r="E946" s="112"/>
      <c r="G946" s="111"/>
      <c r="I946" s="111"/>
      <c r="J946" s="111"/>
      <c r="K946" s="114"/>
      <c r="L946" s="111"/>
    </row>
    <row r="947">
      <c r="A947" s="117"/>
      <c r="C947" s="109"/>
      <c r="D947" s="110"/>
      <c r="E947" s="112"/>
      <c r="G947" s="111"/>
      <c r="I947" s="111"/>
      <c r="J947" s="111"/>
      <c r="K947" s="114"/>
      <c r="L947" s="111"/>
    </row>
    <row r="948">
      <c r="A948" s="117"/>
      <c r="C948" s="109"/>
      <c r="D948" s="110"/>
      <c r="E948" s="112"/>
      <c r="G948" s="111"/>
      <c r="I948" s="111"/>
      <c r="J948" s="111"/>
      <c r="K948" s="114"/>
      <c r="L948" s="111"/>
    </row>
    <row r="949">
      <c r="A949" s="117"/>
      <c r="C949" s="109"/>
      <c r="D949" s="110"/>
      <c r="E949" s="112"/>
      <c r="G949" s="111"/>
      <c r="I949" s="111"/>
      <c r="J949" s="111"/>
      <c r="K949" s="114"/>
      <c r="L949" s="111"/>
    </row>
    <row r="950">
      <c r="A950" s="117"/>
      <c r="C950" s="109"/>
      <c r="D950" s="110"/>
      <c r="E950" s="112"/>
      <c r="G950" s="111"/>
      <c r="I950" s="111"/>
      <c r="J950" s="111"/>
      <c r="K950" s="114"/>
      <c r="L950" s="111"/>
    </row>
    <row r="951">
      <c r="A951" s="117"/>
      <c r="C951" s="109"/>
      <c r="D951" s="110"/>
      <c r="E951" s="112"/>
      <c r="G951" s="111"/>
      <c r="I951" s="111"/>
      <c r="J951" s="111"/>
      <c r="K951" s="114"/>
      <c r="L951" s="111"/>
    </row>
    <row r="952">
      <c r="A952" s="117"/>
      <c r="C952" s="109"/>
      <c r="D952" s="110"/>
      <c r="E952" s="112"/>
      <c r="G952" s="111"/>
      <c r="I952" s="111"/>
      <c r="J952" s="111"/>
      <c r="K952" s="114"/>
      <c r="L952" s="111"/>
    </row>
    <row r="953">
      <c r="A953" s="117"/>
      <c r="C953" s="109"/>
      <c r="D953" s="110"/>
      <c r="E953" s="112"/>
      <c r="G953" s="111"/>
      <c r="I953" s="111"/>
      <c r="J953" s="111"/>
      <c r="K953" s="114"/>
      <c r="L953" s="111"/>
    </row>
    <row r="954">
      <c r="A954" s="117"/>
      <c r="C954" s="109"/>
      <c r="D954" s="110"/>
      <c r="E954" s="112"/>
      <c r="G954" s="111"/>
      <c r="I954" s="111"/>
      <c r="J954" s="111"/>
      <c r="K954" s="114"/>
      <c r="L954" s="111"/>
    </row>
    <row r="955">
      <c r="A955" s="117"/>
      <c r="C955" s="109"/>
      <c r="D955" s="110"/>
      <c r="E955" s="112"/>
      <c r="G955" s="111"/>
      <c r="I955" s="111"/>
      <c r="J955" s="111"/>
      <c r="K955" s="114"/>
      <c r="L955" s="111"/>
    </row>
    <row r="956">
      <c r="A956" s="117"/>
      <c r="C956" s="109"/>
      <c r="D956" s="110"/>
      <c r="E956" s="112"/>
      <c r="G956" s="111"/>
      <c r="I956" s="111"/>
      <c r="J956" s="111"/>
      <c r="K956" s="114"/>
      <c r="L956" s="111"/>
    </row>
    <row r="957">
      <c r="A957" s="117"/>
      <c r="C957" s="109"/>
      <c r="D957" s="110"/>
      <c r="E957" s="112"/>
      <c r="G957" s="111"/>
      <c r="I957" s="111"/>
      <c r="J957" s="111"/>
      <c r="K957" s="114"/>
      <c r="L957" s="111"/>
    </row>
    <row r="958">
      <c r="A958" s="117"/>
      <c r="C958" s="109"/>
      <c r="D958" s="110"/>
      <c r="E958" s="112"/>
      <c r="G958" s="111"/>
      <c r="I958" s="111"/>
      <c r="J958" s="111"/>
      <c r="K958" s="114"/>
      <c r="L958" s="111"/>
    </row>
    <row r="959">
      <c r="A959" s="117"/>
      <c r="C959" s="109"/>
      <c r="D959" s="110"/>
      <c r="E959" s="112"/>
      <c r="G959" s="111"/>
      <c r="I959" s="111"/>
      <c r="J959" s="111"/>
      <c r="K959" s="114"/>
      <c r="L959" s="111"/>
    </row>
    <row r="960">
      <c r="A960" s="117"/>
      <c r="C960" s="109"/>
      <c r="D960" s="110"/>
      <c r="E960" s="112"/>
      <c r="G960" s="111"/>
      <c r="I960" s="111"/>
      <c r="J960" s="111"/>
      <c r="K960" s="114"/>
      <c r="L960" s="111"/>
    </row>
    <row r="961">
      <c r="A961" s="117"/>
      <c r="C961" s="109"/>
      <c r="D961" s="110"/>
      <c r="E961" s="112"/>
      <c r="G961" s="111"/>
      <c r="I961" s="111"/>
      <c r="J961" s="111"/>
      <c r="K961" s="114"/>
      <c r="L961" s="111"/>
    </row>
    <row r="962">
      <c r="A962" s="117"/>
      <c r="C962" s="109"/>
      <c r="D962" s="110"/>
      <c r="E962" s="112"/>
      <c r="G962" s="111"/>
      <c r="I962" s="111"/>
      <c r="J962" s="111"/>
      <c r="K962" s="114"/>
      <c r="L962" s="111"/>
    </row>
    <row r="963">
      <c r="A963" s="117"/>
      <c r="C963" s="109"/>
      <c r="D963" s="110"/>
      <c r="E963" s="112"/>
      <c r="G963" s="111"/>
      <c r="I963" s="111"/>
      <c r="J963" s="111"/>
      <c r="K963" s="114"/>
      <c r="L963" s="111"/>
    </row>
    <row r="964">
      <c r="A964" s="117"/>
      <c r="C964" s="109"/>
      <c r="D964" s="110"/>
      <c r="E964" s="112"/>
      <c r="G964" s="111"/>
      <c r="I964" s="111"/>
      <c r="J964" s="111"/>
      <c r="K964" s="114"/>
      <c r="L964" s="111"/>
    </row>
    <row r="965">
      <c r="A965" s="117"/>
      <c r="C965" s="109"/>
      <c r="D965" s="110"/>
      <c r="E965" s="112"/>
      <c r="G965" s="111"/>
      <c r="I965" s="111"/>
      <c r="J965" s="111"/>
      <c r="K965" s="114"/>
      <c r="L965" s="111"/>
    </row>
    <row r="966">
      <c r="A966" s="117"/>
      <c r="C966" s="109"/>
      <c r="D966" s="110"/>
      <c r="E966" s="112"/>
      <c r="G966" s="111"/>
      <c r="I966" s="111"/>
      <c r="J966" s="111"/>
      <c r="K966" s="114"/>
      <c r="L966" s="111"/>
    </row>
    <row r="967">
      <c r="A967" s="117"/>
      <c r="C967" s="109"/>
      <c r="D967" s="110"/>
      <c r="E967" s="112"/>
      <c r="G967" s="111"/>
      <c r="I967" s="111"/>
      <c r="J967" s="111"/>
      <c r="K967" s="114"/>
      <c r="L967" s="111"/>
    </row>
    <row r="968">
      <c r="A968" s="117"/>
      <c r="C968" s="109"/>
      <c r="D968" s="110"/>
      <c r="E968" s="112"/>
      <c r="G968" s="111"/>
      <c r="I968" s="111"/>
      <c r="J968" s="111"/>
      <c r="K968" s="114"/>
      <c r="L968" s="111"/>
    </row>
    <row r="969">
      <c r="A969" s="117"/>
      <c r="C969" s="109"/>
      <c r="D969" s="110"/>
      <c r="E969" s="112"/>
      <c r="G969" s="111"/>
      <c r="I969" s="111"/>
      <c r="J969" s="111"/>
      <c r="K969" s="114"/>
      <c r="L969" s="111"/>
    </row>
    <row r="970">
      <c r="A970" s="117"/>
      <c r="C970" s="109"/>
      <c r="D970" s="110"/>
      <c r="E970" s="112"/>
      <c r="G970" s="111"/>
      <c r="I970" s="111"/>
      <c r="J970" s="111"/>
      <c r="K970" s="114"/>
      <c r="L970" s="111"/>
    </row>
    <row r="971">
      <c r="A971" s="117"/>
      <c r="C971" s="109"/>
      <c r="D971" s="110"/>
      <c r="E971" s="112"/>
      <c r="G971" s="111"/>
      <c r="I971" s="111"/>
      <c r="J971" s="111"/>
      <c r="K971" s="114"/>
      <c r="L971" s="111"/>
    </row>
    <row r="972">
      <c r="A972" s="117"/>
      <c r="C972" s="109"/>
      <c r="D972" s="110"/>
      <c r="E972" s="112"/>
      <c r="G972" s="111"/>
      <c r="I972" s="111"/>
      <c r="J972" s="111"/>
      <c r="K972" s="114"/>
      <c r="L972" s="111"/>
    </row>
    <row r="973">
      <c r="A973" s="117"/>
      <c r="C973" s="109"/>
      <c r="D973" s="110"/>
      <c r="E973" s="112"/>
      <c r="G973" s="111"/>
      <c r="I973" s="111"/>
      <c r="J973" s="111"/>
      <c r="K973" s="114"/>
      <c r="L973" s="111"/>
    </row>
    <row r="974">
      <c r="A974" s="117"/>
      <c r="C974" s="109"/>
      <c r="D974" s="110"/>
      <c r="E974" s="112"/>
      <c r="G974" s="111"/>
      <c r="I974" s="111"/>
      <c r="J974" s="111"/>
      <c r="K974" s="114"/>
      <c r="L974" s="111"/>
    </row>
    <row r="975">
      <c r="A975" s="117"/>
      <c r="C975" s="109"/>
      <c r="D975" s="110"/>
      <c r="E975" s="112"/>
      <c r="G975" s="111"/>
      <c r="I975" s="111"/>
      <c r="J975" s="111"/>
      <c r="K975" s="114"/>
      <c r="L975" s="111"/>
    </row>
    <row r="976">
      <c r="A976" s="117"/>
      <c r="C976" s="109"/>
      <c r="D976" s="110"/>
      <c r="E976" s="112"/>
      <c r="G976" s="111"/>
      <c r="I976" s="111"/>
      <c r="J976" s="111"/>
      <c r="K976" s="114"/>
      <c r="L976" s="111"/>
    </row>
    <row r="977">
      <c r="A977" s="117"/>
      <c r="C977" s="109"/>
      <c r="D977" s="110"/>
      <c r="E977" s="112"/>
      <c r="G977" s="111"/>
      <c r="I977" s="111"/>
      <c r="J977" s="111"/>
      <c r="K977" s="114"/>
      <c r="L977" s="111"/>
    </row>
    <row r="978">
      <c r="A978" s="117"/>
      <c r="C978" s="109"/>
      <c r="D978" s="110"/>
      <c r="E978" s="112"/>
      <c r="G978" s="111"/>
      <c r="I978" s="111"/>
      <c r="J978" s="111"/>
      <c r="K978" s="114"/>
      <c r="L978" s="111"/>
    </row>
    <row r="979">
      <c r="A979" s="117"/>
      <c r="C979" s="109"/>
      <c r="D979" s="110"/>
      <c r="E979" s="112"/>
      <c r="G979" s="111"/>
      <c r="I979" s="111"/>
      <c r="J979" s="111"/>
      <c r="K979" s="114"/>
      <c r="L979" s="111"/>
    </row>
    <row r="980">
      <c r="A980" s="117"/>
      <c r="C980" s="109"/>
      <c r="D980" s="110"/>
      <c r="E980" s="112"/>
      <c r="G980" s="111"/>
      <c r="I980" s="111"/>
      <c r="J980" s="111"/>
      <c r="K980" s="114"/>
      <c r="L980" s="111"/>
    </row>
    <row r="981">
      <c r="A981" s="117"/>
      <c r="C981" s="109"/>
      <c r="D981" s="110"/>
      <c r="E981" s="112"/>
      <c r="G981" s="111"/>
      <c r="I981" s="111"/>
      <c r="J981" s="111"/>
      <c r="K981" s="114"/>
      <c r="L981" s="111"/>
    </row>
    <row r="982">
      <c r="A982" s="117"/>
      <c r="C982" s="109"/>
      <c r="D982" s="110"/>
      <c r="E982" s="112"/>
      <c r="G982" s="111"/>
      <c r="I982" s="111"/>
      <c r="J982" s="111"/>
      <c r="K982" s="114"/>
      <c r="L982" s="111"/>
    </row>
    <row r="983">
      <c r="A983" s="117"/>
      <c r="C983" s="109"/>
      <c r="D983" s="110"/>
      <c r="E983" s="112"/>
      <c r="G983" s="111"/>
      <c r="I983" s="111"/>
      <c r="J983" s="111"/>
      <c r="K983" s="114"/>
      <c r="L983" s="111"/>
    </row>
    <row r="984">
      <c r="A984" s="117"/>
      <c r="C984" s="109"/>
      <c r="D984" s="110"/>
      <c r="E984" s="112"/>
      <c r="G984" s="111"/>
      <c r="I984" s="111"/>
      <c r="J984" s="111"/>
      <c r="K984" s="114"/>
      <c r="L984" s="111"/>
    </row>
    <row r="985">
      <c r="A985" s="117"/>
      <c r="C985" s="109"/>
      <c r="D985" s="110"/>
      <c r="E985" s="112"/>
      <c r="G985" s="111"/>
      <c r="I985" s="111"/>
      <c r="J985" s="111"/>
      <c r="K985" s="114"/>
      <c r="L985" s="111"/>
    </row>
    <row r="986">
      <c r="A986" s="117"/>
      <c r="C986" s="109"/>
      <c r="D986" s="110"/>
      <c r="E986" s="112"/>
      <c r="G986" s="111"/>
      <c r="I986" s="111"/>
      <c r="J986" s="111"/>
      <c r="K986" s="114"/>
      <c r="L986" s="111"/>
    </row>
    <row r="987">
      <c r="A987" s="117"/>
      <c r="C987" s="109"/>
      <c r="D987" s="110"/>
      <c r="E987" s="112"/>
      <c r="G987" s="111"/>
      <c r="I987" s="111"/>
      <c r="J987" s="111"/>
      <c r="K987" s="114"/>
      <c r="L987" s="111"/>
    </row>
    <row r="988">
      <c r="A988" s="117"/>
      <c r="C988" s="109"/>
      <c r="D988" s="110"/>
      <c r="E988" s="112"/>
      <c r="G988" s="111"/>
      <c r="I988" s="111"/>
      <c r="J988" s="111"/>
      <c r="K988" s="114"/>
      <c r="L988" s="111"/>
    </row>
    <row r="989">
      <c r="A989" s="117"/>
      <c r="C989" s="109"/>
      <c r="D989" s="110"/>
      <c r="E989" s="112"/>
      <c r="G989" s="111"/>
      <c r="I989" s="111"/>
      <c r="J989" s="111"/>
      <c r="K989" s="114"/>
      <c r="L989" s="111"/>
    </row>
    <row r="990">
      <c r="A990" s="117"/>
      <c r="C990" s="109"/>
      <c r="D990" s="110"/>
      <c r="E990" s="112"/>
      <c r="G990" s="111"/>
      <c r="I990" s="111"/>
      <c r="J990" s="111"/>
      <c r="K990" s="114"/>
      <c r="L990" s="111"/>
    </row>
    <row r="991">
      <c r="A991" s="117"/>
      <c r="C991" s="109"/>
      <c r="D991" s="110"/>
      <c r="E991" s="112"/>
      <c r="G991" s="111"/>
      <c r="I991" s="111"/>
      <c r="J991" s="111"/>
      <c r="K991" s="114"/>
      <c r="L991" s="111"/>
    </row>
    <row r="992">
      <c r="A992" s="117"/>
      <c r="C992" s="109"/>
      <c r="D992" s="110"/>
      <c r="E992" s="112"/>
      <c r="G992" s="111"/>
      <c r="I992" s="111"/>
      <c r="J992" s="111"/>
      <c r="K992" s="114"/>
      <c r="L992" s="111"/>
    </row>
    <row r="993">
      <c r="A993" s="117"/>
      <c r="C993" s="109"/>
      <c r="D993" s="110"/>
      <c r="E993" s="112"/>
      <c r="G993" s="111"/>
      <c r="I993" s="111"/>
      <c r="J993" s="111"/>
      <c r="K993" s="114"/>
      <c r="L993" s="111"/>
    </row>
    <row r="994">
      <c r="A994" s="117"/>
      <c r="C994" s="109"/>
      <c r="D994" s="110"/>
      <c r="E994" s="112"/>
      <c r="G994" s="111"/>
      <c r="I994" s="111"/>
      <c r="J994" s="111"/>
      <c r="K994" s="114"/>
      <c r="L994" s="111"/>
    </row>
    <row r="995">
      <c r="A995" s="117"/>
      <c r="C995" s="109"/>
      <c r="D995" s="110"/>
      <c r="E995" s="112"/>
      <c r="G995" s="111"/>
      <c r="I995" s="111"/>
      <c r="J995" s="111"/>
      <c r="K995" s="114"/>
      <c r="L995" s="111"/>
    </row>
    <row r="996">
      <c r="A996" s="117"/>
      <c r="C996" s="109"/>
      <c r="D996" s="110"/>
      <c r="E996" s="112"/>
      <c r="G996" s="111"/>
      <c r="I996" s="111"/>
      <c r="J996" s="111"/>
      <c r="K996" s="114"/>
      <c r="L996" s="111"/>
    </row>
    <row r="997">
      <c r="A997" s="117"/>
      <c r="C997" s="109"/>
      <c r="D997" s="110"/>
      <c r="E997" s="112"/>
      <c r="G997" s="111"/>
      <c r="I997" s="111"/>
      <c r="J997" s="111"/>
      <c r="K997" s="114"/>
      <c r="L997" s="111"/>
    </row>
    <row r="998">
      <c r="A998" s="117"/>
      <c r="C998" s="109"/>
      <c r="D998" s="110"/>
      <c r="E998" s="112"/>
      <c r="G998" s="111"/>
      <c r="I998" s="111"/>
      <c r="J998" s="111"/>
      <c r="K998" s="114"/>
      <c r="L998" s="111"/>
    </row>
    <row r="999">
      <c r="A999" s="117"/>
      <c r="C999" s="109"/>
      <c r="D999" s="110"/>
      <c r="E999" s="112"/>
      <c r="G999" s="111"/>
      <c r="I999" s="111"/>
      <c r="J999" s="111"/>
      <c r="K999" s="114"/>
      <c r="L999" s="111"/>
    </row>
    <row r="1000">
      <c r="A1000" s="117"/>
      <c r="C1000" s="109"/>
      <c r="D1000" s="110"/>
      <c r="E1000" s="112"/>
      <c r="G1000" s="111"/>
      <c r="I1000" s="111"/>
      <c r="J1000" s="111"/>
      <c r="K1000" s="114"/>
      <c r="L1000" s="111"/>
    </row>
  </sheetData>
  <autoFilter ref="$A$1:$L$312"/>
  <hyperlinks>
    <hyperlink r:id="rId1" ref="F70"/>
  </hyperlinks>
  <drawing r:id="rId2"/>
</worksheet>
</file>